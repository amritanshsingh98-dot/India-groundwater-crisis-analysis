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c4eb7769e6367a/Desktop/water crisis/"/>
    </mc:Choice>
  </mc:AlternateContent>
  <xr:revisionPtr revIDLastSave="3" documentId="8_{4F747AFA-CBB3-4EA9-AD19-75D06FF6B43B}" xr6:coauthVersionLast="47" xr6:coauthVersionMax="47" xr10:uidLastSave="{252AD39F-9CB9-45B6-A9F0-67D9BB0359EF}"/>
  <bookViews>
    <workbookView xWindow="-108" yWindow="-108" windowWidth="23256" windowHeight="12456" activeTab="2" xr2:uid="{30B975E9-1F99-4083-8A96-D700DFD003D6}"/>
  </bookViews>
  <sheets>
    <sheet name="Sheet1" sheetId="2" r:id="rId1"/>
    <sheet name="Sheet2" sheetId="3" r:id="rId2"/>
    <sheet name="Forecast" sheetId="4" r:id="rId3"/>
    <sheet name="state's trend over years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E2" i="4" s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C25" i="4"/>
  <c r="C37" i="4"/>
  <c r="C29" i="4"/>
  <c r="C20" i="4"/>
  <c r="C9" i="4"/>
  <c r="E9" i="4" s="1"/>
  <c r="C18" i="4"/>
  <c r="C22" i="4"/>
  <c r="C5" i="4"/>
  <c r="C28" i="4"/>
  <c r="C13" i="4"/>
  <c r="C4" i="4"/>
  <c r="C23" i="4"/>
  <c r="C27" i="4"/>
  <c r="C24" i="4"/>
  <c r="C10" i="4"/>
  <c r="C16" i="4"/>
  <c r="C26" i="4"/>
  <c r="C12" i="4"/>
  <c r="C11" i="4"/>
  <c r="C15" i="4"/>
  <c r="C31" i="4"/>
  <c r="E31" i="4" s="1"/>
  <c r="C33" i="4"/>
  <c r="C35" i="4"/>
  <c r="C34" i="4"/>
  <c r="C17" i="4"/>
  <c r="C6" i="4"/>
  <c r="C2" i="4"/>
  <c r="C3" i="4"/>
  <c r="C32" i="4"/>
  <c r="C7" i="4"/>
  <c r="C19" i="4"/>
  <c r="C30" i="4"/>
  <c r="C8" i="4"/>
  <c r="C14" i="4"/>
  <c r="C21" i="4"/>
  <c r="C36" i="4"/>
  <c r="B36" i="4"/>
  <c r="E36" i="4" s="1"/>
  <c r="B25" i="4"/>
  <c r="E25" i="4" s="1"/>
  <c r="B37" i="4"/>
  <c r="B29" i="4"/>
  <c r="D29" i="4" s="1"/>
  <c r="B20" i="4"/>
  <c r="B9" i="4"/>
  <c r="B18" i="4"/>
  <c r="E18" i="4" s="1"/>
  <c r="B22" i="4"/>
  <c r="B5" i="4"/>
  <c r="B28" i="4"/>
  <c r="E28" i="4" s="1"/>
  <c r="B13" i="4"/>
  <c r="B4" i="4"/>
  <c r="E4" i="4" s="1"/>
  <c r="B23" i="4"/>
  <c r="E23" i="4" s="1"/>
  <c r="B27" i="4"/>
  <c r="B24" i="4"/>
  <c r="B10" i="4"/>
  <c r="B16" i="4"/>
  <c r="D16" i="4" s="1"/>
  <c r="B26" i="4"/>
  <c r="E26" i="4" s="1"/>
  <c r="B12" i="4"/>
  <c r="B11" i="4"/>
  <c r="B15" i="4"/>
  <c r="B31" i="4"/>
  <c r="B33" i="4"/>
  <c r="B35" i="4"/>
  <c r="B34" i="4"/>
  <c r="D34" i="4" s="1"/>
  <c r="B17" i="4"/>
  <c r="E17" i="4" s="1"/>
  <c r="B6" i="4"/>
  <c r="B3" i="4"/>
  <c r="B32" i="4"/>
  <c r="B7" i="4"/>
  <c r="B19" i="4"/>
  <c r="E19" i="4" s="1"/>
  <c r="B30" i="4"/>
  <c r="B8" i="4"/>
  <c r="E8" i="4" s="1"/>
  <c r="B14" i="4"/>
  <c r="B21" i="4"/>
  <c r="J2" i="1" a="1"/>
  <c r="J2" i="1" s="1"/>
  <c r="E21" i="4" l="1"/>
  <c r="E29" i="4"/>
  <c r="D5" i="4"/>
  <c r="D30" i="4"/>
  <c r="E3" i="4"/>
  <c r="E20" i="4"/>
  <c r="E30" i="4"/>
  <c r="E33" i="4"/>
  <c r="E15" i="4"/>
  <c r="E11" i="4"/>
  <c r="D4" i="4"/>
  <c r="E14" i="4"/>
  <c r="E6" i="4"/>
  <c r="E12" i="4"/>
  <c r="E13" i="4"/>
  <c r="E37" i="4"/>
  <c r="E22" i="4"/>
  <c r="D35" i="4"/>
  <c r="D7" i="4"/>
  <c r="D18" i="4"/>
  <c r="E35" i="4"/>
  <c r="D32" i="4"/>
  <c r="D31" i="4"/>
  <c r="D27" i="4"/>
  <c r="D9" i="4"/>
  <c r="E27" i="4"/>
  <c r="E16" i="4"/>
  <c r="D10" i="4"/>
  <c r="D33" i="4"/>
  <c r="E10" i="4"/>
  <c r="E34" i="4"/>
  <c r="E5" i="4"/>
  <c r="D19" i="4"/>
  <c r="D22" i="4"/>
  <c r="D24" i="4"/>
  <c r="E32" i="4"/>
  <c r="E24" i="4"/>
  <c r="E7" i="4"/>
  <c r="D36" i="4"/>
  <c r="D3" i="4"/>
  <c r="D15" i="4"/>
  <c r="D23" i="4"/>
  <c r="D20" i="4"/>
  <c r="D2" i="4"/>
  <c r="D14" i="4"/>
  <c r="D6" i="4"/>
  <c r="D12" i="4"/>
  <c r="D13" i="4"/>
  <c r="D37" i="4"/>
  <c r="D21" i="4"/>
  <c r="D11" i="4"/>
  <c r="D8" i="4"/>
  <c r="D17" i="4"/>
  <c r="D26" i="4"/>
  <c r="D28" i="4"/>
  <c r="D2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<sst xmlns="http://schemas.openxmlformats.org/spreadsheetml/2006/main" count="338" uniqueCount="52">
  <si>
    <t>state</t>
  </si>
  <si>
    <t>year</t>
  </si>
  <si>
    <t>stage_extraction</t>
  </si>
  <si>
    <t>prev_stage_extraction</t>
  </si>
  <si>
    <t>yoy_change</t>
  </si>
  <si>
    <t>stress_rank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</si>
  <si>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</si>
  <si>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</si>
  <si>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</si>
  <si>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</si>
  <si>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</si>
  <si>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</si>
  <si>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</si>
  <si>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</si>
  <si>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</si>
  <si>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</si>
  <si>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</si>
  <si>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</si>
  <si>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</si>
  <si>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</si>
  <si>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</si>
  <si>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</si>
  <si>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</si>
  <si>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</si>
  <si>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</si>
  <si>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</si>
  <si>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</si>
  <si>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</si>
  <si>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</si>
  <si>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</si>
  <si>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</si>
  <si>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</si>
  <si>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</si>
  <si>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</si>
  <si>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</si>
  <si>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</si>
  <si>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</si>
  <si>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</si>
  <si>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</si>
  <si>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</si>
  <si>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</si>
  <si>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</si>
  <si>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Row Labels</t>
  </si>
  <si>
    <t>Grand Total</t>
  </si>
  <si>
    <t>Average of yoy_change</t>
  </si>
  <si>
    <t>Average of stage_extraction</t>
  </si>
  <si>
    <t>State</t>
  </si>
  <si>
    <t xml:space="preserve"> Current Status</t>
  </si>
  <si>
    <t>Avg Yearly Change</t>
  </si>
  <si>
    <t>Projected 2027</t>
  </si>
  <si>
    <t>Projected 2030</t>
  </si>
  <si>
    <t>Forecast_Reliability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</si>
</sst>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Groundwater Stress: Current vs Projected 2030 (%)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9897112113452289"/>
          <c:y val="0.1329669831174993"/>
          <c:w val="0.72633464566929129"/>
          <c:h val="0.612431466899970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 Current Status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Forecast!$A$2:$A$37</c:f>
              <c:strCache>
                <c:ptCount val="36"/>
                <c:pt idx="0">
                  <c:v>Punjab</c:v>
                </c:pt>
                <c:pt idx="1">
                  <c:v>Rajasthan</c:v>
                </c:pt>
                <c:pt idx="2">
                  <c:v>Haryana</c:v>
                </c:pt>
                <c:pt idx="3">
                  <c:v>Delhi</c:v>
                </c:pt>
                <c:pt idx="4">
                  <c:v>Puducherry</c:v>
                </c:pt>
                <c:pt idx="5">
                  <c:v>Tamil Nadu</c:v>
                </c:pt>
                <c:pt idx="6">
                  <c:v>Uttar Pradesh</c:v>
                </c:pt>
                <c:pt idx="7">
                  <c:v>Chandigarh</c:v>
                </c:pt>
                <c:pt idx="8">
                  <c:v>Karnataka</c:v>
                </c:pt>
                <c:pt idx="9">
                  <c:v>Madhya Pradesh</c:v>
                </c:pt>
                <c:pt idx="10">
                  <c:v>Lakshadweep</c:v>
                </c:pt>
                <c:pt idx="11">
                  <c:v>Gujarat</c:v>
                </c:pt>
                <c:pt idx="12">
                  <c:v>Uttarakhand</c:v>
                </c:pt>
                <c:pt idx="13">
                  <c:v>Maharashtra</c:v>
                </c:pt>
                <c:pt idx="14">
                  <c:v>Kerala</c:v>
                </c:pt>
                <c:pt idx="15">
                  <c:v>Odisha</c:v>
                </c:pt>
                <c:pt idx="16">
                  <c:v>Chhattisgarh</c:v>
                </c:pt>
                <c:pt idx="17">
                  <c:v>Telangana</c:v>
                </c:pt>
                <c:pt idx="18">
                  <c:v>Bihar</c:v>
                </c:pt>
                <c:pt idx="19">
                  <c:v>West Bengal</c:v>
                </c:pt>
                <c:pt idx="20">
                  <c:v>Dadra &amp; Nagar Haveli and Daman &amp; Diu</c:v>
                </c:pt>
                <c:pt idx="21">
                  <c:v>Himachal Pradesh</c:v>
                </c:pt>
                <c:pt idx="22">
                  <c:v>Jharkhand</c:v>
                </c:pt>
                <c:pt idx="23">
                  <c:v>Andhra Pradesh</c:v>
                </c:pt>
                <c:pt idx="24">
                  <c:v>Ladakh</c:v>
                </c:pt>
                <c:pt idx="25">
                  <c:v>Jammu &amp; Kashmir</c:v>
                </c:pt>
                <c:pt idx="26">
                  <c:v>Goa</c:v>
                </c:pt>
                <c:pt idx="27">
                  <c:v>Assam</c:v>
                </c:pt>
                <c:pt idx="28">
                  <c:v>Tripura</c:v>
                </c:pt>
                <c:pt idx="29">
                  <c:v>Manipur</c:v>
                </c:pt>
                <c:pt idx="30">
                  <c:v>Sikkim</c:v>
                </c:pt>
                <c:pt idx="31">
                  <c:v>Meghalaya</c:v>
                </c:pt>
                <c:pt idx="32">
                  <c:v>Nagaland</c:v>
                </c:pt>
                <c:pt idx="33">
                  <c:v>Mizoram</c:v>
                </c:pt>
                <c:pt idx="34">
                  <c:v>Andaman &amp; Nicobar</c:v>
                </c:pt>
                <c:pt idx="35">
                  <c:v>Arunachal Pradesh</c:v>
                </c:pt>
              </c:strCache>
            </c:strRef>
          </c:cat>
          <c:val>
            <c:numRef>
              <c:f>Forecast!$B$2:$B$37</c:f>
              <c:numCache>
                <c:formatCode>General</c:formatCode>
                <c:ptCount val="36"/>
                <c:pt idx="0">
                  <c:v>156.36000000000001</c:v>
                </c:pt>
                <c:pt idx="1">
                  <c:v>147.11000000000001</c:v>
                </c:pt>
                <c:pt idx="2">
                  <c:v>136.75</c:v>
                </c:pt>
                <c:pt idx="3">
                  <c:v>92.1</c:v>
                </c:pt>
                <c:pt idx="4">
                  <c:v>75.98</c:v>
                </c:pt>
                <c:pt idx="5">
                  <c:v>73.5</c:v>
                </c:pt>
                <c:pt idx="6">
                  <c:v>70</c:v>
                </c:pt>
                <c:pt idx="7">
                  <c:v>67</c:v>
                </c:pt>
                <c:pt idx="8">
                  <c:v>66.489999999999995</c:v>
                </c:pt>
                <c:pt idx="9">
                  <c:v>59.32</c:v>
                </c:pt>
                <c:pt idx="10">
                  <c:v>57.79</c:v>
                </c:pt>
                <c:pt idx="11">
                  <c:v>55.95</c:v>
                </c:pt>
                <c:pt idx="12">
                  <c:v>53.92</c:v>
                </c:pt>
                <c:pt idx="13">
                  <c:v>51.79</c:v>
                </c:pt>
                <c:pt idx="14">
                  <c:v>49.95</c:v>
                </c:pt>
                <c:pt idx="15">
                  <c:v>48.75</c:v>
                </c:pt>
                <c:pt idx="16">
                  <c:v>48.18</c:v>
                </c:pt>
                <c:pt idx="17">
                  <c:v>46.69</c:v>
                </c:pt>
                <c:pt idx="18">
                  <c:v>46.2</c:v>
                </c:pt>
                <c:pt idx="19">
                  <c:v>45.19</c:v>
                </c:pt>
                <c:pt idx="20">
                  <c:v>41.67</c:v>
                </c:pt>
                <c:pt idx="21">
                  <c:v>38.5</c:v>
                </c:pt>
                <c:pt idx="22">
                  <c:v>32.89</c:v>
                </c:pt>
                <c:pt idx="23">
                  <c:v>31.51</c:v>
                </c:pt>
                <c:pt idx="24">
                  <c:v>30.93</c:v>
                </c:pt>
                <c:pt idx="25">
                  <c:v>24.73</c:v>
                </c:pt>
                <c:pt idx="26">
                  <c:v>23.3</c:v>
                </c:pt>
                <c:pt idx="27">
                  <c:v>14.45</c:v>
                </c:pt>
                <c:pt idx="28">
                  <c:v>10.06</c:v>
                </c:pt>
                <c:pt idx="29">
                  <c:v>9.09</c:v>
                </c:pt>
                <c:pt idx="30">
                  <c:v>5.87</c:v>
                </c:pt>
                <c:pt idx="31">
                  <c:v>5.24</c:v>
                </c:pt>
                <c:pt idx="32">
                  <c:v>4.72</c:v>
                </c:pt>
                <c:pt idx="33">
                  <c:v>4.03</c:v>
                </c:pt>
                <c:pt idx="34">
                  <c:v>2.27</c:v>
                </c:pt>
                <c:pt idx="35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2-465F-8A26-AFED6A51A8AF}"/>
            </c:ext>
          </c:extLst>
        </c:ser>
        <c:ser>
          <c:idx val="1"/>
          <c:order val="1"/>
          <c:tx>
            <c:strRef>
              <c:f>Forecast!$E$1</c:f>
              <c:strCache>
                <c:ptCount val="1"/>
                <c:pt idx="0">
                  <c:v>Projected 2030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Forecast!$A$2:$A$37</c:f>
              <c:strCache>
                <c:ptCount val="36"/>
                <c:pt idx="0">
                  <c:v>Punjab</c:v>
                </c:pt>
                <c:pt idx="1">
                  <c:v>Rajasthan</c:v>
                </c:pt>
                <c:pt idx="2">
                  <c:v>Haryana</c:v>
                </c:pt>
                <c:pt idx="3">
                  <c:v>Delhi</c:v>
                </c:pt>
                <c:pt idx="4">
                  <c:v>Puducherry</c:v>
                </c:pt>
                <c:pt idx="5">
                  <c:v>Tamil Nadu</c:v>
                </c:pt>
                <c:pt idx="6">
                  <c:v>Uttar Pradesh</c:v>
                </c:pt>
                <c:pt idx="7">
                  <c:v>Chandigarh</c:v>
                </c:pt>
                <c:pt idx="8">
                  <c:v>Karnataka</c:v>
                </c:pt>
                <c:pt idx="9">
                  <c:v>Madhya Pradesh</c:v>
                </c:pt>
                <c:pt idx="10">
                  <c:v>Lakshadweep</c:v>
                </c:pt>
                <c:pt idx="11">
                  <c:v>Gujarat</c:v>
                </c:pt>
                <c:pt idx="12">
                  <c:v>Uttarakhand</c:v>
                </c:pt>
                <c:pt idx="13">
                  <c:v>Maharashtra</c:v>
                </c:pt>
                <c:pt idx="14">
                  <c:v>Kerala</c:v>
                </c:pt>
                <c:pt idx="15">
                  <c:v>Odisha</c:v>
                </c:pt>
                <c:pt idx="16">
                  <c:v>Chhattisgarh</c:v>
                </c:pt>
                <c:pt idx="17">
                  <c:v>Telangana</c:v>
                </c:pt>
                <c:pt idx="18">
                  <c:v>Bihar</c:v>
                </c:pt>
                <c:pt idx="19">
                  <c:v>West Bengal</c:v>
                </c:pt>
                <c:pt idx="20">
                  <c:v>Dadra &amp; Nagar Haveli and Daman &amp; Diu</c:v>
                </c:pt>
                <c:pt idx="21">
                  <c:v>Himachal Pradesh</c:v>
                </c:pt>
                <c:pt idx="22">
                  <c:v>Jharkhand</c:v>
                </c:pt>
                <c:pt idx="23">
                  <c:v>Andhra Pradesh</c:v>
                </c:pt>
                <c:pt idx="24">
                  <c:v>Ladakh</c:v>
                </c:pt>
                <c:pt idx="25">
                  <c:v>Jammu &amp; Kashmir</c:v>
                </c:pt>
                <c:pt idx="26">
                  <c:v>Goa</c:v>
                </c:pt>
                <c:pt idx="27">
                  <c:v>Assam</c:v>
                </c:pt>
                <c:pt idx="28">
                  <c:v>Tripura</c:v>
                </c:pt>
                <c:pt idx="29">
                  <c:v>Manipur</c:v>
                </c:pt>
                <c:pt idx="30">
                  <c:v>Sikkim</c:v>
                </c:pt>
                <c:pt idx="31">
                  <c:v>Meghalaya</c:v>
                </c:pt>
                <c:pt idx="32">
                  <c:v>Nagaland</c:v>
                </c:pt>
                <c:pt idx="33">
                  <c:v>Mizoram</c:v>
                </c:pt>
                <c:pt idx="34">
                  <c:v>Andaman &amp; Nicobar</c:v>
                </c:pt>
                <c:pt idx="35">
                  <c:v>Arunachal Pradesh</c:v>
                </c:pt>
              </c:strCache>
            </c:strRef>
          </c:cat>
          <c:val>
            <c:numRef>
              <c:f>Forecast!$E$2:$E$37</c:f>
              <c:numCache>
                <c:formatCode>General</c:formatCode>
                <c:ptCount val="36"/>
                <c:pt idx="0">
                  <c:v>146.95000000000002</c:v>
                </c:pt>
                <c:pt idx="1">
                  <c:v>154.34</c:v>
                </c:pt>
                <c:pt idx="2">
                  <c:v>136.59</c:v>
                </c:pt>
                <c:pt idx="3">
                  <c:v>64.589999999999989</c:v>
                </c:pt>
                <c:pt idx="4">
                  <c:v>90.25500000000001</c:v>
                </c:pt>
                <c:pt idx="5">
                  <c:v>66.06</c:v>
                </c:pt>
                <c:pt idx="6">
                  <c:v>69.819999999999993</c:v>
                </c:pt>
                <c:pt idx="7">
                  <c:v>45</c:v>
                </c:pt>
                <c:pt idx="8">
                  <c:v>63.11</c:v>
                </c:pt>
                <c:pt idx="9">
                  <c:v>63.88</c:v>
                </c:pt>
                <c:pt idx="10">
                  <c:v>56.94</c:v>
                </c:pt>
                <c:pt idx="11">
                  <c:v>48.010000000000005</c:v>
                </c:pt>
                <c:pt idx="12">
                  <c:v>51.010000000000005</c:v>
                </c:pt>
                <c:pt idx="13">
                  <c:v>48.96</c:v>
                </c:pt>
                <c:pt idx="14">
                  <c:v>48.63</c:v>
                </c:pt>
                <c:pt idx="15">
                  <c:v>55.32</c:v>
                </c:pt>
                <c:pt idx="16">
                  <c:v>51.93</c:v>
                </c:pt>
                <c:pt idx="17">
                  <c:v>27.93</c:v>
                </c:pt>
                <c:pt idx="18">
                  <c:v>46.64</c:v>
                </c:pt>
                <c:pt idx="19">
                  <c:v>45.78</c:v>
                </c:pt>
                <c:pt idx="20">
                  <c:v>54.77000000000001</c:v>
                </c:pt>
                <c:pt idx="21">
                  <c:v>0</c:v>
                </c:pt>
                <c:pt idx="22">
                  <c:v>38.049999999999997</c:v>
                </c:pt>
                <c:pt idx="23">
                  <c:v>18.87</c:v>
                </c:pt>
                <c:pt idx="24">
                  <c:v>47.217500000000001</c:v>
                </c:pt>
                <c:pt idx="25">
                  <c:v>19.990000000000002</c:v>
                </c:pt>
                <c:pt idx="26">
                  <c:v>13.100000000000001</c:v>
                </c:pt>
                <c:pt idx="27">
                  <c:v>17.649999999999999</c:v>
                </c:pt>
                <c:pt idx="28">
                  <c:v>12.24</c:v>
                </c:pt>
                <c:pt idx="29">
                  <c:v>16.739999999999998</c:v>
                </c:pt>
                <c:pt idx="30">
                  <c:v>11.68</c:v>
                </c:pt>
                <c:pt idx="31">
                  <c:v>8.1999999999999993</c:v>
                </c:pt>
                <c:pt idx="32">
                  <c:v>8.4499999999999993</c:v>
                </c:pt>
                <c:pt idx="33">
                  <c:v>4.24</c:v>
                </c:pt>
                <c:pt idx="34">
                  <c:v>1.7999999999999998</c:v>
                </c:pt>
                <c:pt idx="35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92-465F-8A26-AFED6A51A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4818447"/>
        <c:axId val="1704830927"/>
      </c:barChart>
      <c:catAx>
        <c:axId val="1704818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30927"/>
        <c:crosses val="autoZero"/>
        <c:auto val="1"/>
        <c:lblAlgn val="ctr"/>
        <c:lblOffset val="100"/>
        <c:noMultiLvlLbl val="0"/>
      </c:catAx>
      <c:valAx>
        <c:axId val="170483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Stage of Extraction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4482</xdr:colOff>
      <xdr:row>0</xdr:row>
      <xdr:rowOff>0</xdr:rowOff>
    </xdr:from>
    <xdr:to>
      <xdr:col>20</xdr:col>
      <xdr:colOff>591670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D3D4BE-1DEC-56AB-3292-B6180CC1D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tendra singh" refreshedDate="46203.51216539352" createdVersion="8" refreshedVersion="8" minRefreshableVersion="3" recordCount="211" xr:uid="{B6B63650-84F8-4049-9144-76E7CA98A854}">
  <cacheSource type="worksheet">
    <worksheetSource ref="A1:F212" sheet="state's trend over years"/>
  </cacheSource>
  <cacheFields count="6">
    <cacheField name="state" numFmtId="0">
      <sharedItems count="36">
        <s v="Andaman &amp; Nicobar"/>
        <s v="Andhra Pradesh"/>
        <s v="Arunachal Pradesh"/>
        <s v="Assam"/>
        <s v="Bihar"/>
        <s v="Chandigarh"/>
        <s v="Chhattisgarh"/>
        <s v="Dadra &amp; Nagar Haveli and Daman &amp; Diu"/>
        <s v="Delhi"/>
        <s v="Goa"/>
        <s v="Gujarat"/>
        <s v="Haryana"/>
        <s v="Himachal Pradesh"/>
        <s v="Jammu &amp;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year" numFmtId="0">
      <sharedItems containsSemiMixedTypes="0" containsString="0" containsNumber="1" containsInteger="1" minValue="2017" maxValue="2025" count="6">
        <n v="2017"/>
        <n v="2020"/>
        <n v="2022"/>
        <n v="2023"/>
        <n v="2024"/>
        <n v="2025"/>
      </sharedItems>
    </cacheField>
    <cacheField name="stage_extraction" numFmtId="0">
      <sharedItems containsSemiMixedTypes="0" containsString="0" containsNumber="1" minValue="0.06" maxValue="165.99"/>
    </cacheField>
    <cacheField name="prev_stage_extraction" numFmtId="0">
      <sharedItems containsString="0" containsBlank="1" containsNumber="1" minValue="0.06" maxValue="165.99"/>
    </cacheField>
    <cacheField name="yoy_change" numFmtId="0">
      <sharedItems containsString="0" containsBlank="1" containsNumber="1" minValue="-91.66" maxValue="83.97"/>
    </cacheField>
    <cacheField name="stress_rank" numFmtId="0">
      <sharedItems containsSemiMixedTypes="0" containsString="0" containsNumber="1" containsInteger="1" minValue="1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n v="2.74"/>
    <m/>
    <m/>
    <n v="28"/>
  </r>
  <r>
    <x v="0"/>
    <x v="1"/>
    <n v="2.6"/>
    <n v="2.74"/>
    <n v="-0.14000000000000001"/>
    <n v="32"/>
  </r>
  <r>
    <x v="0"/>
    <x v="2"/>
    <n v="1.35"/>
    <n v="2.6"/>
    <n v="-1.25"/>
    <n v="34"/>
  </r>
  <r>
    <x v="0"/>
    <x v="3"/>
    <n v="1.37"/>
    <n v="1.35"/>
    <n v="0.02"/>
    <n v="35"/>
  </r>
  <r>
    <x v="0"/>
    <x v="4"/>
    <n v="2.08"/>
    <n v="1.37"/>
    <n v="0.71"/>
    <n v="35"/>
  </r>
  <r>
    <x v="0"/>
    <x v="5"/>
    <n v="2.27"/>
    <n v="2.08"/>
    <n v="0.19"/>
    <n v="35"/>
  </r>
  <r>
    <x v="1"/>
    <x v="0"/>
    <n v="44.15"/>
    <m/>
    <m/>
    <n v="19"/>
  </r>
  <r>
    <x v="1"/>
    <x v="1"/>
    <n v="33.26"/>
    <n v="44.15"/>
    <n v="-10.89"/>
    <n v="22"/>
  </r>
  <r>
    <x v="1"/>
    <x v="2"/>
    <n v="28.81"/>
    <n v="33.26"/>
    <n v="-4.45"/>
    <n v="24"/>
  </r>
  <r>
    <x v="1"/>
    <x v="3"/>
    <n v="28.3"/>
    <n v="28.81"/>
    <n v="-0.51"/>
    <n v="25"/>
  </r>
  <r>
    <x v="1"/>
    <x v="4"/>
    <n v="29.83"/>
    <n v="28.3"/>
    <n v="1.53"/>
    <n v="25"/>
  </r>
  <r>
    <x v="1"/>
    <x v="5"/>
    <n v="31.51"/>
    <n v="29.83"/>
    <n v="1.68"/>
    <n v="24"/>
  </r>
  <r>
    <x v="2"/>
    <x v="0"/>
    <n v="0.28000000000000003"/>
    <m/>
    <m/>
    <n v="32"/>
  </r>
  <r>
    <x v="2"/>
    <x v="1"/>
    <n v="0.36"/>
    <n v="0.28000000000000003"/>
    <n v="0.08"/>
    <n v="35"/>
  </r>
  <r>
    <x v="2"/>
    <x v="2"/>
    <n v="0.79"/>
    <n v="0.36"/>
    <n v="0.43"/>
    <n v="35"/>
  </r>
  <r>
    <x v="2"/>
    <x v="3"/>
    <n v="0.42"/>
    <n v="0.79"/>
    <n v="-0.37"/>
    <n v="36"/>
  </r>
  <r>
    <x v="2"/>
    <x v="4"/>
    <n v="0.39"/>
    <n v="0.42"/>
    <n v="-0.03"/>
    <n v="36"/>
  </r>
  <r>
    <x v="2"/>
    <x v="5"/>
    <n v="0.41"/>
    <n v="0.39"/>
    <n v="0.02"/>
    <n v="36"/>
  </r>
  <r>
    <x v="3"/>
    <x v="0"/>
    <n v="11.25"/>
    <m/>
    <m/>
    <n v="25"/>
  </r>
  <r>
    <x v="3"/>
    <x v="1"/>
    <n v="11.73"/>
    <n v="11.25"/>
    <n v="0.48"/>
    <n v="27"/>
  </r>
  <r>
    <x v="3"/>
    <x v="2"/>
    <n v="12.38"/>
    <n v="11.73"/>
    <n v="0.65"/>
    <n v="27"/>
  </r>
  <r>
    <x v="3"/>
    <x v="3"/>
    <n v="12.54"/>
    <n v="12.38"/>
    <n v="0.16"/>
    <n v="28"/>
  </r>
  <r>
    <x v="3"/>
    <x v="4"/>
    <n v="12.61"/>
    <n v="12.54"/>
    <n v="7.0000000000000007E-2"/>
    <n v="28"/>
  </r>
  <r>
    <x v="3"/>
    <x v="5"/>
    <n v="14.45"/>
    <n v="12.61"/>
    <n v="1.84"/>
    <n v="28"/>
  </r>
  <r>
    <x v="4"/>
    <x v="0"/>
    <n v="45.76"/>
    <m/>
    <m/>
    <n v="16"/>
  </r>
  <r>
    <x v="4"/>
    <x v="1"/>
    <n v="51.14"/>
    <n v="45.76"/>
    <n v="5.38"/>
    <n v="16"/>
  </r>
  <r>
    <x v="4"/>
    <x v="2"/>
    <n v="44.94"/>
    <n v="51.14"/>
    <n v="-6.2"/>
    <n v="18"/>
  </r>
  <r>
    <x v="4"/>
    <x v="3"/>
    <n v="44.76"/>
    <n v="44.94"/>
    <n v="-0.18"/>
    <n v="20"/>
  </r>
  <r>
    <x v="4"/>
    <x v="4"/>
    <n v="45.54"/>
    <n v="44.76"/>
    <n v="0.78"/>
    <n v="21"/>
  </r>
  <r>
    <x v="4"/>
    <x v="5"/>
    <n v="46.2"/>
    <n v="45.54"/>
    <n v="0.66"/>
    <n v="19"/>
  </r>
  <r>
    <x v="5"/>
    <x v="0"/>
    <n v="89"/>
    <m/>
    <m/>
    <n v="5"/>
  </r>
  <r>
    <x v="5"/>
    <x v="1"/>
    <n v="80.599999999999994"/>
    <n v="89"/>
    <n v="-8.4"/>
    <n v="6"/>
  </r>
  <r>
    <x v="5"/>
    <x v="2"/>
    <n v="80.989999999999995"/>
    <n v="80.599999999999994"/>
    <n v="0.39"/>
    <n v="6"/>
  </r>
  <r>
    <x v="5"/>
    <x v="3"/>
    <n v="75.41"/>
    <n v="80.989999999999995"/>
    <n v="-5.58"/>
    <n v="6"/>
  </r>
  <r>
    <x v="5"/>
    <x v="4"/>
    <n v="66.13"/>
    <n v="75.41"/>
    <n v="-9.2799999999999994"/>
    <n v="10"/>
  </r>
  <r>
    <x v="5"/>
    <x v="5"/>
    <n v="67"/>
    <n v="66.13"/>
    <n v="0.87"/>
    <n v="8"/>
  </r>
  <r>
    <x v="6"/>
    <x v="0"/>
    <n v="44.43"/>
    <m/>
    <m/>
    <n v="18"/>
  </r>
  <r>
    <x v="6"/>
    <x v="1"/>
    <n v="46.34"/>
    <n v="44.43"/>
    <n v="1.91"/>
    <n v="18"/>
  </r>
  <r>
    <x v="6"/>
    <x v="2"/>
    <n v="49.58"/>
    <n v="46.34"/>
    <n v="3.24"/>
    <n v="15"/>
  </r>
  <r>
    <x v="6"/>
    <x v="3"/>
    <n v="47.17"/>
    <n v="49.58"/>
    <n v="-2.41"/>
    <n v="17"/>
  </r>
  <r>
    <x v="6"/>
    <x v="4"/>
    <n v="47.32"/>
    <n v="47.17"/>
    <n v="0.15"/>
    <n v="18"/>
  </r>
  <r>
    <x v="6"/>
    <x v="5"/>
    <n v="48.18"/>
    <n v="47.32"/>
    <n v="0.86"/>
    <n v="17"/>
  </r>
  <r>
    <x v="7"/>
    <x v="0"/>
    <n v="28.57"/>
    <m/>
    <m/>
    <n v="23"/>
  </r>
  <r>
    <x v="7"/>
    <x v="1"/>
    <n v="60"/>
    <n v="28.57"/>
    <n v="31.43"/>
    <n v="9"/>
  </r>
  <r>
    <x v="7"/>
    <x v="2"/>
    <n v="143.97"/>
    <n v="60"/>
    <n v="83.97"/>
    <n v="3"/>
  </r>
  <r>
    <x v="7"/>
    <x v="3"/>
    <n v="133.33000000000001"/>
    <n v="143.97"/>
    <n v="-10.64"/>
    <n v="4"/>
  </r>
  <r>
    <x v="7"/>
    <x v="4"/>
    <n v="133.33000000000001"/>
    <n v="133.33000000000001"/>
    <n v="0"/>
    <n v="4"/>
  </r>
  <r>
    <x v="7"/>
    <x v="5"/>
    <n v="41.67"/>
    <n v="133.33000000000001"/>
    <n v="-91.66"/>
    <n v="21"/>
  </r>
  <r>
    <x v="8"/>
    <x v="0"/>
    <n v="119.61"/>
    <m/>
    <m/>
    <n v="4"/>
  </r>
  <r>
    <x v="8"/>
    <x v="1"/>
    <n v="101.4"/>
    <n v="119.61"/>
    <n v="-18.21"/>
    <n v="4"/>
  </r>
  <r>
    <x v="8"/>
    <x v="2"/>
    <n v="98.16"/>
    <n v="101.4"/>
    <n v="-3.24"/>
    <n v="5"/>
  </r>
  <r>
    <x v="8"/>
    <x v="3"/>
    <n v="99.13"/>
    <n v="98.16"/>
    <n v="0.97"/>
    <n v="5"/>
  </r>
  <r>
    <x v="8"/>
    <x v="4"/>
    <n v="100.77"/>
    <n v="99.13"/>
    <n v="1.64"/>
    <n v="5"/>
  </r>
  <r>
    <x v="8"/>
    <x v="5"/>
    <n v="92.1"/>
    <n v="100.77"/>
    <n v="-8.67"/>
    <n v="4"/>
  </r>
  <r>
    <x v="9"/>
    <x v="0"/>
    <n v="33.5"/>
    <m/>
    <m/>
    <n v="21"/>
  </r>
  <r>
    <x v="9"/>
    <x v="1"/>
    <n v="23.48"/>
    <n v="33.5"/>
    <n v="-10.02"/>
    <n v="24"/>
  </r>
  <r>
    <x v="9"/>
    <x v="2"/>
    <n v="23.63"/>
    <n v="23.48"/>
    <n v="0.15"/>
    <n v="26"/>
  </r>
  <r>
    <x v="9"/>
    <x v="3"/>
    <n v="21.37"/>
    <n v="23.63"/>
    <n v="-2.2599999999999998"/>
    <n v="27"/>
  </r>
  <r>
    <x v="9"/>
    <x v="4"/>
    <n v="22.91"/>
    <n v="21.37"/>
    <n v="1.54"/>
    <n v="26"/>
  </r>
  <r>
    <x v="9"/>
    <x v="5"/>
    <n v="23.3"/>
    <n v="22.91"/>
    <n v="0.39"/>
    <n v="27"/>
  </r>
  <r>
    <x v="10"/>
    <x v="0"/>
    <n v="63.89"/>
    <m/>
    <m/>
    <n v="11"/>
  </r>
  <r>
    <x v="10"/>
    <x v="1"/>
    <n v="53.39"/>
    <n v="63.89"/>
    <n v="-10.5"/>
    <n v="13"/>
  </r>
  <r>
    <x v="10"/>
    <x v="2"/>
    <n v="53.23"/>
    <n v="53.39"/>
    <n v="-0.16"/>
    <n v="13"/>
  </r>
  <r>
    <x v="10"/>
    <x v="3"/>
    <n v="51.68"/>
    <n v="53.23"/>
    <n v="-1.55"/>
    <n v="16"/>
  </r>
  <r>
    <x v="10"/>
    <x v="4"/>
    <n v="54.21"/>
    <n v="51.68"/>
    <n v="2.5299999999999998"/>
    <n v="13"/>
  </r>
  <r>
    <x v="10"/>
    <x v="5"/>
    <n v="55.95"/>
    <n v="54.21"/>
    <n v="1.74"/>
    <n v="12"/>
  </r>
  <r>
    <x v="11"/>
    <x v="0"/>
    <n v="136.91"/>
    <m/>
    <m/>
    <n v="3"/>
  </r>
  <r>
    <x v="11"/>
    <x v="1"/>
    <n v="134.56"/>
    <n v="136.91"/>
    <n v="-2.35"/>
    <n v="3"/>
  </r>
  <r>
    <x v="11"/>
    <x v="2"/>
    <n v="134.13999999999999"/>
    <n v="134.56"/>
    <n v="-0.42"/>
    <n v="4"/>
  </r>
  <r>
    <x v="11"/>
    <x v="3"/>
    <n v="135.74"/>
    <n v="134.13999999999999"/>
    <n v="1.6"/>
    <n v="3"/>
  </r>
  <r>
    <x v="11"/>
    <x v="4"/>
    <n v="135.96"/>
    <n v="135.74"/>
    <n v="0.22"/>
    <n v="3"/>
  </r>
  <r>
    <x v="11"/>
    <x v="5"/>
    <n v="136.75"/>
    <n v="135.96"/>
    <n v="0.79"/>
    <n v="3"/>
  </r>
  <r>
    <x v="12"/>
    <x v="0"/>
    <n v="86.37"/>
    <m/>
    <m/>
    <n v="6"/>
  </r>
  <r>
    <x v="12"/>
    <x v="1"/>
    <n v="36.83"/>
    <n v="86.37"/>
    <n v="-49.54"/>
    <n v="21"/>
  </r>
  <r>
    <x v="12"/>
    <x v="2"/>
    <n v="37.56"/>
    <n v="36.83"/>
    <n v="0.73"/>
    <n v="22"/>
  </r>
  <r>
    <x v="12"/>
    <x v="3"/>
    <n v="34.950000000000003"/>
    <n v="37.56"/>
    <n v="-2.61"/>
    <n v="23"/>
  </r>
  <r>
    <x v="12"/>
    <x v="4"/>
    <n v="35.479999999999997"/>
    <n v="34.950000000000003"/>
    <n v="0.53"/>
    <n v="22"/>
  </r>
  <r>
    <x v="12"/>
    <x v="5"/>
    <n v="38.5"/>
    <n v="35.479999999999997"/>
    <n v="3.02"/>
    <n v="22"/>
  </r>
  <r>
    <x v="13"/>
    <x v="0"/>
    <n v="29.47"/>
    <m/>
    <m/>
    <n v="22"/>
  </r>
  <r>
    <x v="13"/>
    <x v="1"/>
    <n v="21.03"/>
    <n v="29.47"/>
    <n v="-8.44"/>
    <n v="25"/>
  </r>
  <r>
    <x v="13"/>
    <x v="2"/>
    <n v="24.18"/>
    <n v="21.03"/>
    <n v="3.15"/>
    <n v="25"/>
  </r>
  <r>
    <x v="13"/>
    <x v="3"/>
    <n v="24.2"/>
    <n v="24.18"/>
    <n v="0.02"/>
    <n v="26"/>
  </r>
  <r>
    <x v="13"/>
    <x v="4"/>
    <n v="22.28"/>
    <n v="24.2"/>
    <n v="-1.92"/>
    <n v="27"/>
  </r>
  <r>
    <x v="13"/>
    <x v="5"/>
    <n v="24.73"/>
    <n v="22.28"/>
    <n v="2.4500000000000002"/>
    <n v="26"/>
  </r>
  <r>
    <x v="14"/>
    <x v="0"/>
    <n v="27.73"/>
    <m/>
    <m/>
    <n v="24"/>
  </r>
  <r>
    <x v="14"/>
    <x v="1"/>
    <n v="29.13"/>
    <n v="27.73"/>
    <n v="1.4"/>
    <n v="23"/>
  </r>
  <r>
    <x v="14"/>
    <x v="2"/>
    <n v="31.35"/>
    <n v="29.13"/>
    <n v="2.2200000000000002"/>
    <n v="23"/>
  </r>
  <r>
    <x v="14"/>
    <x v="3"/>
    <n v="31.38"/>
    <n v="31.35"/>
    <n v="0.03"/>
    <n v="24"/>
  </r>
  <r>
    <x v="14"/>
    <x v="4"/>
    <n v="31.43"/>
    <n v="31.38"/>
    <n v="0.05"/>
    <n v="23"/>
  </r>
  <r>
    <x v="14"/>
    <x v="5"/>
    <n v="32.89"/>
    <n v="31.43"/>
    <n v="1.46"/>
    <n v="23"/>
  </r>
  <r>
    <x v="15"/>
    <x v="0"/>
    <n v="69.87"/>
    <m/>
    <m/>
    <n v="9"/>
  </r>
  <r>
    <x v="15"/>
    <x v="1"/>
    <n v="64.849999999999994"/>
    <n v="69.87"/>
    <n v="-5.0199999999999996"/>
    <n v="8"/>
  </r>
  <r>
    <x v="15"/>
    <x v="2"/>
    <n v="69.930000000000007"/>
    <n v="64.849999999999994"/>
    <n v="5.08"/>
    <n v="9"/>
  </r>
  <r>
    <x v="15"/>
    <x v="3"/>
    <n v="66.260000000000005"/>
    <n v="69.930000000000007"/>
    <n v="-3.67"/>
    <n v="10"/>
  </r>
  <r>
    <x v="15"/>
    <x v="4"/>
    <n v="68.44"/>
    <n v="66.260000000000005"/>
    <n v="2.1800000000000002"/>
    <n v="9"/>
  </r>
  <r>
    <x v="15"/>
    <x v="5"/>
    <n v="66.489999999999995"/>
    <n v="68.44"/>
    <n v="-1.95"/>
    <n v="9"/>
  </r>
  <r>
    <x v="16"/>
    <x v="0"/>
    <n v="51.27"/>
    <m/>
    <m/>
    <n v="15"/>
  </r>
  <r>
    <x v="16"/>
    <x v="1"/>
    <n v="51.68"/>
    <n v="51.27"/>
    <n v="0.41"/>
    <n v="15"/>
  </r>
  <r>
    <x v="16"/>
    <x v="2"/>
    <n v="52.56"/>
    <n v="51.68"/>
    <n v="0.88"/>
    <n v="14"/>
  </r>
  <r>
    <x v="16"/>
    <x v="3"/>
    <n v="54.55"/>
    <n v="52.56"/>
    <n v="1.99"/>
    <n v="13"/>
  </r>
  <r>
    <x v="16"/>
    <x v="4"/>
    <n v="53.78"/>
    <n v="54.55"/>
    <n v="-0.77"/>
    <n v="14"/>
  </r>
  <r>
    <x v="16"/>
    <x v="5"/>
    <n v="49.95"/>
    <n v="53.78"/>
    <n v="-3.83"/>
    <n v="15"/>
  </r>
  <r>
    <x v="17"/>
    <x v="1"/>
    <n v="17.899999999999999"/>
    <m/>
    <m/>
    <n v="26"/>
  </r>
  <r>
    <x v="17"/>
    <x v="2"/>
    <n v="41.36"/>
    <n v="17.899999999999999"/>
    <n v="23.46"/>
    <n v="21"/>
  </r>
  <r>
    <x v="17"/>
    <x v="3"/>
    <n v="37.049999999999997"/>
    <n v="41.36"/>
    <n v="-4.3099999999999996"/>
    <n v="22"/>
  </r>
  <r>
    <x v="17"/>
    <x v="4"/>
    <n v="30.93"/>
    <n v="37.049999999999997"/>
    <n v="-6.12"/>
    <n v="24"/>
  </r>
  <r>
    <x v="17"/>
    <x v="5"/>
    <n v="30.93"/>
    <n v="30.93"/>
    <n v="0"/>
    <n v="25"/>
  </r>
  <r>
    <x v="18"/>
    <x v="1"/>
    <n v="58.47"/>
    <m/>
    <m/>
    <n v="10"/>
  </r>
  <r>
    <x v="18"/>
    <x v="2"/>
    <n v="61.6"/>
    <n v="58.47"/>
    <n v="3.13"/>
    <n v="10"/>
  </r>
  <r>
    <x v="18"/>
    <x v="3"/>
    <n v="61.72"/>
    <n v="61.6"/>
    <n v="0.12"/>
    <n v="11"/>
  </r>
  <r>
    <x v="18"/>
    <x v="4"/>
    <n v="61.32"/>
    <n v="61.72"/>
    <n v="-0.4"/>
    <n v="11"/>
  </r>
  <r>
    <x v="18"/>
    <x v="5"/>
    <n v="57.79"/>
    <n v="61.32"/>
    <n v="-3.53"/>
    <n v="11"/>
  </r>
  <r>
    <x v="19"/>
    <x v="0"/>
    <n v="54.76"/>
    <m/>
    <m/>
    <n v="13"/>
  </r>
  <r>
    <x v="19"/>
    <x v="1"/>
    <n v="56.82"/>
    <n v="54.76"/>
    <n v="2.06"/>
    <n v="11"/>
  </r>
  <r>
    <x v="19"/>
    <x v="2"/>
    <n v="59.1"/>
    <n v="56.82"/>
    <n v="2.2799999999999998"/>
    <n v="11"/>
  </r>
  <r>
    <x v="19"/>
    <x v="3"/>
    <n v="58.75"/>
    <n v="59.1"/>
    <n v="-0.35"/>
    <n v="12"/>
  </r>
  <r>
    <x v="19"/>
    <x v="4"/>
    <n v="58.4"/>
    <n v="58.75"/>
    <n v="-0.35"/>
    <n v="12"/>
  </r>
  <r>
    <x v="19"/>
    <x v="5"/>
    <n v="59.32"/>
    <n v="58.4"/>
    <n v="0.92"/>
    <n v="10"/>
  </r>
  <r>
    <x v="20"/>
    <x v="0"/>
    <n v="54.62"/>
    <m/>
    <m/>
    <n v="14"/>
  </r>
  <r>
    <x v="20"/>
    <x v="1"/>
    <n v="54.99"/>
    <n v="54.62"/>
    <n v="0.37"/>
    <n v="12"/>
  </r>
  <r>
    <x v="20"/>
    <x v="2"/>
    <n v="54.68"/>
    <n v="54.99"/>
    <n v="-0.31"/>
    <n v="12"/>
  </r>
  <r>
    <x v="20"/>
    <x v="3"/>
    <n v="53.83"/>
    <n v="54.68"/>
    <n v="-0.85"/>
    <n v="14"/>
  </r>
  <r>
    <x v="20"/>
    <x v="4"/>
    <n v="52.99"/>
    <n v="53.83"/>
    <n v="-0.84"/>
    <n v="16"/>
  </r>
  <r>
    <x v="20"/>
    <x v="5"/>
    <n v="51.79"/>
    <n v="52.99"/>
    <n v="-1.2"/>
    <n v="14"/>
  </r>
  <r>
    <x v="21"/>
    <x v="0"/>
    <n v="1.44"/>
    <m/>
    <m/>
    <n v="30"/>
  </r>
  <r>
    <x v="21"/>
    <x v="1"/>
    <n v="5.12"/>
    <n v="1.44"/>
    <n v="3.68"/>
    <n v="29"/>
  </r>
  <r>
    <x v="21"/>
    <x v="2"/>
    <n v="7.95"/>
    <n v="5.12"/>
    <n v="2.83"/>
    <n v="29"/>
  </r>
  <r>
    <x v="21"/>
    <x v="3"/>
    <n v="7.99"/>
    <n v="7.95"/>
    <n v="0.04"/>
    <n v="30"/>
  </r>
  <r>
    <x v="21"/>
    <x v="4"/>
    <n v="8"/>
    <n v="7.99"/>
    <n v="0.01"/>
    <n v="30"/>
  </r>
  <r>
    <x v="21"/>
    <x v="5"/>
    <n v="9.09"/>
    <n v="8"/>
    <n v="1.0900000000000001"/>
    <n v="30"/>
  </r>
  <r>
    <x v="22"/>
    <x v="0"/>
    <n v="2.2799999999999998"/>
    <m/>
    <m/>
    <n v="29"/>
  </r>
  <r>
    <x v="22"/>
    <x v="1"/>
    <n v="4.22"/>
    <n v="2.2799999999999998"/>
    <n v="1.94"/>
    <n v="30"/>
  </r>
  <r>
    <x v="22"/>
    <x v="2"/>
    <n v="3.55"/>
    <n v="4.22"/>
    <n v="-0.67"/>
    <n v="32"/>
  </r>
  <r>
    <x v="22"/>
    <x v="3"/>
    <n v="4.58"/>
    <n v="3.55"/>
    <n v="1.03"/>
    <n v="32"/>
  </r>
  <r>
    <x v="22"/>
    <x v="4"/>
    <n v="4.5999999999999996"/>
    <n v="4.58"/>
    <n v="0.02"/>
    <n v="33"/>
  </r>
  <r>
    <x v="22"/>
    <x v="5"/>
    <n v="5.24"/>
    <n v="4.5999999999999996"/>
    <n v="0.64"/>
    <n v="32"/>
  </r>
  <r>
    <x v="23"/>
    <x v="0"/>
    <n v="3.82"/>
    <m/>
    <m/>
    <n v="27"/>
  </r>
  <r>
    <x v="23"/>
    <x v="1"/>
    <n v="3.81"/>
    <n v="3.82"/>
    <n v="-0.01"/>
    <n v="31"/>
  </r>
  <r>
    <x v="23"/>
    <x v="2"/>
    <n v="3.96"/>
    <n v="3.81"/>
    <n v="0.15"/>
    <n v="31"/>
  </r>
  <r>
    <x v="23"/>
    <x v="3"/>
    <n v="3.7"/>
    <n v="3.96"/>
    <n v="-0.26"/>
    <n v="34"/>
  </r>
  <r>
    <x v="23"/>
    <x v="4"/>
    <n v="3.95"/>
    <n v="3.7"/>
    <n v="0.25"/>
    <n v="34"/>
  </r>
  <r>
    <x v="23"/>
    <x v="5"/>
    <n v="4.03"/>
    <n v="3.95"/>
    <n v="0.08"/>
    <n v="34"/>
  </r>
  <r>
    <x v="24"/>
    <x v="0"/>
    <n v="0.99"/>
    <m/>
    <m/>
    <n v="31"/>
  </r>
  <r>
    <x v="24"/>
    <x v="1"/>
    <n v="1.04"/>
    <n v="0.99"/>
    <n v="0.05"/>
    <n v="33"/>
  </r>
  <r>
    <x v="24"/>
    <x v="2"/>
    <n v="2.89"/>
    <n v="1.04"/>
    <n v="1.85"/>
    <n v="33"/>
  </r>
  <r>
    <x v="24"/>
    <x v="3"/>
    <n v="3.76"/>
    <n v="2.89"/>
    <n v="0.87"/>
    <n v="33"/>
  </r>
  <r>
    <x v="24"/>
    <x v="4"/>
    <n v="4.72"/>
    <n v="3.76"/>
    <n v="0.96"/>
    <n v="32"/>
  </r>
  <r>
    <x v="24"/>
    <x v="5"/>
    <n v="4.72"/>
    <n v="4.72"/>
    <n v="0"/>
    <n v="33"/>
  </r>
  <r>
    <x v="25"/>
    <x v="0"/>
    <n v="42.18"/>
    <m/>
    <m/>
    <n v="20"/>
  </r>
  <r>
    <x v="25"/>
    <x v="1"/>
    <n v="43.65"/>
    <n v="42.18"/>
    <n v="1.47"/>
    <n v="20"/>
  </r>
  <r>
    <x v="25"/>
    <x v="2"/>
    <n v="44.25"/>
    <n v="43.65"/>
    <n v="0.6"/>
    <n v="19"/>
  </r>
  <r>
    <x v="25"/>
    <x v="3"/>
    <n v="46.33"/>
    <n v="44.25"/>
    <n v="2.08"/>
    <n v="18"/>
  </r>
  <r>
    <x v="25"/>
    <x v="4"/>
    <n v="48.23"/>
    <n v="46.33"/>
    <n v="1.9"/>
    <n v="17"/>
  </r>
  <r>
    <x v="25"/>
    <x v="5"/>
    <n v="48.75"/>
    <n v="48.23"/>
    <n v="0.52"/>
    <n v="16"/>
  </r>
  <r>
    <x v="26"/>
    <x v="3"/>
    <n v="70.27"/>
    <m/>
    <m/>
    <n v="9"/>
  </r>
  <r>
    <x v="26"/>
    <x v="4"/>
    <n v="75.91"/>
    <n v="70.27"/>
    <n v="5.64"/>
    <n v="6"/>
  </r>
  <r>
    <x v="26"/>
    <x v="5"/>
    <n v="75.98"/>
    <n v="75.91"/>
    <n v="7.0000000000000007E-2"/>
    <n v="5"/>
  </r>
  <r>
    <x v="27"/>
    <x v="0"/>
    <n v="165.77"/>
    <m/>
    <m/>
    <n v="1"/>
  </r>
  <r>
    <x v="27"/>
    <x v="1"/>
    <n v="164.42"/>
    <n v="165.77"/>
    <n v="-1.35"/>
    <n v="1"/>
  </r>
  <r>
    <x v="27"/>
    <x v="2"/>
    <n v="165.99"/>
    <n v="164.42"/>
    <n v="1.57"/>
    <n v="1"/>
  </r>
  <r>
    <x v="27"/>
    <x v="3"/>
    <n v="163.76"/>
    <n v="165.99"/>
    <n v="-2.23"/>
    <n v="1"/>
  </r>
  <r>
    <x v="27"/>
    <x v="4"/>
    <n v="156.87"/>
    <n v="163.76"/>
    <n v="-6.89"/>
    <n v="1"/>
  </r>
  <r>
    <x v="27"/>
    <x v="5"/>
    <n v="156.36000000000001"/>
    <n v="156.87"/>
    <n v="-0.51"/>
    <n v="1"/>
  </r>
  <r>
    <x v="28"/>
    <x v="0"/>
    <n v="139.88"/>
    <m/>
    <m/>
    <n v="2"/>
  </r>
  <r>
    <x v="28"/>
    <x v="1"/>
    <n v="150.22"/>
    <n v="139.88"/>
    <n v="10.34"/>
    <n v="2"/>
  </r>
  <r>
    <x v="28"/>
    <x v="2"/>
    <n v="151.07"/>
    <n v="150.22"/>
    <n v="0.85"/>
    <n v="2"/>
  </r>
  <r>
    <x v="28"/>
    <x v="3"/>
    <n v="148.77000000000001"/>
    <n v="151.07"/>
    <n v="-2.2999999999999998"/>
    <n v="2"/>
  </r>
  <r>
    <x v="28"/>
    <x v="4"/>
    <n v="149.86000000000001"/>
    <n v="148.77000000000001"/>
    <n v="1.0900000000000001"/>
    <n v="2"/>
  </r>
  <r>
    <x v="28"/>
    <x v="5"/>
    <n v="147.11000000000001"/>
    <n v="149.86000000000001"/>
    <n v="-2.75"/>
    <n v="2"/>
  </r>
  <r>
    <x v="29"/>
    <x v="0"/>
    <n v="0.06"/>
    <m/>
    <m/>
    <n v="33"/>
  </r>
  <r>
    <x v="29"/>
    <x v="1"/>
    <n v="0.86"/>
    <n v="0.06"/>
    <n v="0.8"/>
    <n v="34"/>
  </r>
  <r>
    <x v="29"/>
    <x v="2"/>
    <n v="6.04"/>
    <n v="0.86"/>
    <n v="5.18"/>
    <n v="30"/>
  </r>
  <r>
    <x v="29"/>
    <x v="3"/>
    <n v="5.54"/>
    <n v="6.04"/>
    <n v="-0.5"/>
    <n v="31"/>
  </r>
  <r>
    <x v="29"/>
    <x v="4"/>
    <n v="5.85"/>
    <n v="5.54"/>
    <n v="0.31"/>
    <n v="31"/>
  </r>
  <r>
    <x v="29"/>
    <x v="5"/>
    <n v="5.87"/>
    <n v="5.85"/>
    <n v="0.02"/>
    <n v="31"/>
  </r>
  <r>
    <x v="30"/>
    <x v="0"/>
    <n v="80.94"/>
    <m/>
    <m/>
    <n v="7"/>
  </r>
  <r>
    <x v="30"/>
    <x v="1"/>
    <n v="82.93"/>
    <n v="80.94"/>
    <n v="1.99"/>
    <n v="5"/>
  </r>
  <r>
    <x v="30"/>
    <x v="2"/>
    <n v="75.59"/>
    <n v="82.93"/>
    <n v="-7.34"/>
    <n v="7"/>
  </r>
  <r>
    <x v="30"/>
    <x v="3"/>
    <n v="73.91"/>
    <n v="75.59"/>
    <n v="-1.68"/>
    <n v="7"/>
  </r>
  <r>
    <x v="30"/>
    <x v="4"/>
    <n v="74.260000000000005"/>
    <n v="73.91"/>
    <n v="0.35"/>
    <n v="7"/>
  </r>
  <r>
    <x v="30"/>
    <x v="5"/>
    <n v="73.5"/>
    <n v="74.260000000000005"/>
    <n v="-0.76"/>
    <n v="6"/>
  </r>
  <r>
    <x v="31"/>
    <x v="0"/>
    <n v="65.45"/>
    <m/>
    <m/>
    <n v="10"/>
  </r>
  <r>
    <x v="31"/>
    <x v="1"/>
    <n v="53.32"/>
    <n v="65.45"/>
    <n v="-12.13"/>
    <n v="14"/>
  </r>
  <r>
    <x v="31"/>
    <x v="2"/>
    <n v="41.6"/>
    <n v="53.32"/>
    <n v="-11.72"/>
    <n v="20"/>
  </r>
  <r>
    <x v="31"/>
    <x v="3"/>
    <n v="38.65"/>
    <n v="41.6"/>
    <n v="-2.95"/>
    <n v="21"/>
  </r>
  <r>
    <x v="31"/>
    <x v="4"/>
    <n v="45.91"/>
    <n v="38.65"/>
    <n v="7.26"/>
    <n v="19"/>
  </r>
  <r>
    <x v="31"/>
    <x v="5"/>
    <n v="46.69"/>
    <n v="45.91"/>
    <n v="0.78"/>
    <n v="18"/>
  </r>
  <r>
    <x v="32"/>
    <x v="0"/>
    <n v="7.88"/>
    <m/>
    <m/>
    <n v="26"/>
  </r>
  <r>
    <x v="32"/>
    <x v="1"/>
    <n v="7.94"/>
    <n v="7.88"/>
    <n v="0.06"/>
    <n v="28"/>
  </r>
  <r>
    <x v="32"/>
    <x v="2"/>
    <n v="9.6999999999999993"/>
    <n v="7.94"/>
    <n v="1.76"/>
    <n v="28"/>
  </r>
  <r>
    <x v="32"/>
    <x v="3"/>
    <n v="9.92"/>
    <n v="9.6999999999999993"/>
    <n v="0.22"/>
    <n v="29"/>
  </r>
  <r>
    <x v="32"/>
    <x v="4"/>
    <n v="9.48"/>
    <n v="9.92"/>
    <n v="-0.44"/>
    <n v="29"/>
  </r>
  <r>
    <x v="32"/>
    <x v="5"/>
    <n v="10.06"/>
    <n v="9.48"/>
    <n v="0.57999999999999996"/>
    <n v="29"/>
  </r>
  <r>
    <x v="33"/>
    <x v="0"/>
    <n v="70.180000000000007"/>
    <m/>
    <m/>
    <n v="8"/>
  </r>
  <r>
    <x v="33"/>
    <x v="1"/>
    <n v="68.83"/>
    <n v="70.180000000000007"/>
    <n v="-1.35"/>
    <n v="7"/>
  </r>
  <r>
    <x v="33"/>
    <x v="2"/>
    <n v="70.66"/>
    <n v="68.83"/>
    <n v="1.83"/>
    <n v="8"/>
  </r>
  <r>
    <x v="33"/>
    <x v="3"/>
    <n v="70.760000000000005"/>
    <n v="70.66"/>
    <n v="0.1"/>
    <n v="8"/>
  </r>
  <r>
    <x v="33"/>
    <x v="4"/>
    <n v="70.45"/>
    <n v="70.760000000000005"/>
    <n v="-0.31"/>
    <n v="8"/>
  </r>
  <r>
    <x v="33"/>
    <x v="5"/>
    <n v="70"/>
    <n v="70.45"/>
    <n v="-0.45"/>
    <n v="7"/>
  </r>
  <r>
    <x v="34"/>
    <x v="0"/>
    <n v="56.83"/>
    <m/>
    <m/>
    <n v="12"/>
  </r>
  <r>
    <x v="34"/>
    <x v="1"/>
    <n v="46.8"/>
    <n v="56.83"/>
    <n v="-10.029999999999999"/>
    <n v="17"/>
  </r>
  <r>
    <x v="34"/>
    <x v="2"/>
    <n v="48.04"/>
    <n v="46.8"/>
    <n v="1.24"/>
    <n v="16"/>
  </r>
  <r>
    <x v="34"/>
    <x v="3"/>
    <n v="51.69"/>
    <n v="48.04"/>
    <n v="3.65"/>
    <n v="15"/>
  </r>
  <r>
    <x v="34"/>
    <x v="4"/>
    <n v="53.54"/>
    <n v="51.69"/>
    <n v="1.85"/>
    <n v="15"/>
  </r>
  <r>
    <x v="34"/>
    <x v="5"/>
    <n v="53.92"/>
    <n v="53.54"/>
    <n v="0.38"/>
    <n v="13"/>
  </r>
  <r>
    <x v="35"/>
    <x v="0"/>
    <n v="44.6"/>
    <m/>
    <m/>
    <n v="17"/>
  </r>
  <r>
    <x v="35"/>
    <x v="1"/>
    <n v="44.6"/>
    <n v="44.6"/>
    <n v="0"/>
    <n v="19"/>
  </r>
  <r>
    <x v="35"/>
    <x v="2"/>
    <n v="47.01"/>
    <n v="44.6"/>
    <n v="2.41"/>
    <n v="17"/>
  </r>
  <r>
    <x v="35"/>
    <x v="3"/>
    <n v="44.81"/>
    <n v="47.01"/>
    <n v="-2.2000000000000002"/>
    <n v="19"/>
  </r>
  <r>
    <x v="35"/>
    <x v="4"/>
    <n v="45.63"/>
    <n v="44.81"/>
    <n v="0.82"/>
    <n v="20"/>
  </r>
  <r>
    <x v="35"/>
    <x v="5"/>
    <n v="45.19"/>
    <n v="45.63"/>
    <n v="-0.4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D97D29-B64D-4BE2-B340-0025F26C5A7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6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Average of yoy_change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110CEA-3A75-4A19-91BC-02E1841539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 rowPageCount="1" colPageCount="1"/>
  <pivotFields count="6"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Page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pageFields count="1">
    <pageField fld="1" item="5" hier="-1"/>
  </pageFields>
  <dataFields count="1">
    <dataField name="Average of stage_extraction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4D1D1-1DDD-45A8-AD16-598AAFE7BF48}" name="Table1" displayName="Table1" ref="A1:F37" totalsRowShown="0">
  <autoFilter ref="A1:F37" xr:uid="{6114D1D1-1DDD-45A8-AD16-598AAFE7BF48}"/>
  <sortState xmlns:xlrd2="http://schemas.microsoft.com/office/spreadsheetml/2017/richdata2" ref="A2:E37">
    <sortCondition descending="1" ref="B1:B37"/>
  </sortState>
  <tableColumns count="6">
    <tableColumn id="1" xr3:uid="{AFB31A31-8D3E-41AD-9DE5-460D52B56D6A}" name="State" dataDxfId="2"/>
    <tableColumn id="2" xr3:uid="{739D88AD-3360-4923-B012-28064A49E2DE}" name=" Current Status">
      <calculatedColumnFormula>VLOOKUP(A2, Sheet2!A:B, 2, FALSE)</calculatedColumnFormula>
    </tableColumn>
    <tableColumn id="3" xr3:uid="{596A4247-A6F0-401B-9E0F-97716AD3C28F}" name="Avg Yearly Change">
      <calculatedColumnFormula>VLOOKUP(A2,Sheet1!A4:B39,2,FALSE)</calculatedColumnFormula>
    </tableColumn>
    <tableColumn id="4" xr3:uid="{E5F6F77C-ABAC-4ABD-A718-5AF6251F1DBF}" name="Projected 2027">
      <calculatedColumnFormula>B2+(C2*2)</calculatedColumnFormula>
    </tableColumn>
    <tableColumn id="5" xr3:uid="{212D9F5A-ED64-4DC0-B681-856567567D17}" name="Projected 2030" dataDxfId="1">
      <calculatedColumnFormula>MAX(0,B2+(C2*5))</calculatedColumnFormula>
    </tableColumn>
    <tableColumn id="6" xr3:uid="{5E0FA5C7-815F-4C0F-A4B8-F54A2F807A6A}" name="Forecast_Reliability" dataDxfId="0">
      <calculatedColumnFormula>IF(OR(A2="Himachal Pradesh", A2="Dadra &amp; Nagar Haveli and Daman &amp; Diu"), "Low confidence - non-linear trend", "Reliable")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37B5-BB99-41BD-B042-CE47929FF0B8}">
  <dimension ref="A3:B40"/>
  <sheetViews>
    <sheetView topLeftCell="A16" workbookViewId="0">
      <selection activeCell="A3" sqref="A3"/>
    </sheetView>
  </sheetViews>
  <sheetFormatPr defaultRowHeight="14.4" x14ac:dyDescent="0.3"/>
  <cols>
    <col min="1" max="1" width="32.5546875" bestFit="1" customWidth="1"/>
    <col min="2" max="2" width="19.44140625" bestFit="1" customWidth="1"/>
  </cols>
  <sheetData>
    <row r="3" spans="1:2" x14ac:dyDescent="0.3">
      <c r="A3" s="1" t="s">
        <v>42</v>
      </c>
      <c r="B3" t="s">
        <v>44</v>
      </c>
    </row>
    <row r="4" spans="1:2" x14ac:dyDescent="0.3">
      <c r="A4" s="2" t="s">
        <v>6</v>
      </c>
      <c r="B4">
        <v>-9.4000000000000028E-2</v>
      </c>
    </row>
    <row r="5" spans="1:2" x14ac:dyDescent="0.3">
      <c r="A5" s="2" t="s">
        <v>7</v>
      </c>
      <c r="B5">
        <v>-2.528</v>
      </c>
    </row>
    <row r="6" spans="1:2" x14ac:dyDescent="0.3">
      <c r="A6" s="2" t="s">
        <v>8</v>
      </c>
      <c r="B6">
        <v>2.6000000000000002E-2</v>
      </c>
    </row>
    <row r="7" spans="1:2" x14ac:dyDescent="0.3">
      <c r="A7" s="2" t="s">
        <v>9</v>
      </c>
      <c r="B7">
        <v>0.64</v>
      </c>
    </row>
    <row r="8" spans="1:2" x14ac:dyDescent="0.3">
      <c r="A8" s="2" t="s">
        <v>10</v>
      </c>
      <c r="B8">
        <v>8.7999999999999967E-2</v>
      </c>
    </row>
    <row r="9" spans="1:2" x14ac:dyDescent="0.3">
      <c r="A9" s="2" t="s">
        <v>11</v>
      </c>
      <c r="B9">
        <v>-4.3999999999999995</v>
      </c>
    </row>
    <row r="10" spans="1:2" x14ac:dyDescent="0.3">
      <c r="A10" s="2" t="s">
        <v>12</v>
      </c>
      <c r="B10">
        <v>0.75</v>
      </c>
    </row>
    <row r="11" spans="1:2" x14ac:dyDescent="0.3">
      <c r="A11" s="2" t="s">
        <v>13</v>
      </c>
      <c r="B11">
        <v>2.6200000000000019</v>
      </c>
    </row>
    <row r="12" spans="1:2" x14ac:dyDescent="0.3">
      <c r="A12" s="2" t="s">
        <v>14</v>
      </c>
      <c r="B12">
        <v>-5.5020000000000007</v>
      </c>
    </row>
    <row r="13" spans="1:2" x14ac:dyDescent="0.3">
      <c r="A13" s="2" t="s">
        <v>15</v>
      </c>
      <c r="B13">
        <v>-2.04</v>
      </c>
    </row>
    <row r="14" spans="1:2" x14ac:dyDescent="0.3">
      <c r="A14" s="2" t="s">
        <v>16</v>
      </c>
      <c r="B14">
        <v>-1.5880000000000003</v>
      </c>
    </row>
    <row r="15" spans="1:2" x14ac:dyDescent="0.3">
      <c r="A15" s="2" t="s">
        <v>17</v>
      </c>
      <c r="B15">
        <v>-3.1999999999999987E-2</v>
      </c>
    </row>
    <row r="16" spans="1:2" x14ac:dyDescent="0.3">
      <c r="A16" s="2" t="s">
        <v>18</v>
      </c>
      <c r="B16">
        <v>-9.5739999999999998</v>
      </c>
    </row>
    <row r="17" spans="1:2" x14ac:dyDescent="0.3">
      <c r="A17" s="2" t="s">
        <v>19</v>
      </c>
      <c r="B17">
        <v>-0.94799999999999984</v>
      </c>
    </row>
    <row r="18" spans="1:2" x14ac:dyDescent="0.3">
      <c r="A18" s="2" t="s">
        <v>20</v>
      </c>
      <c r="B18">
        <v>1.032</v>
      </c>
    </row>
    <row r="19" spans="1:2" x14ac:dyDescent="0.3">
      <c r="A19" s="2" t="s">
        <v>21</v>
      </c>
      <c r="B19">
        <v>-0.67599999999999982</v>
      </c>
    </row>
    <row r="20" spans="1:2" x14ac:dyDescent="0.3">
      <c r="A20" s="2" t="s">
        <v>22</v>
      </c>
      <c r="B20">
        <v>-0.26399999999999996</v>
      </c>
    </row>
    <row r="21" spans="1:2" x14ac:dyDescent="0.3">
      <c r="A21" s="2" t="s">
        <v>23</v>
      </c>
      <c r="B21">
        <v>3.2575000000000003</v>
      </c>
    </row>
    <row r="22" spans="1:2" x14ac:dyDescent="0.3">
      <c r="A22" s="2" t="s">
        <v>24</v>
      </c>
      <c r="B22">
        <v>-0.16999999999999993</v>
      </c>
    </row>
    <row r="23" spans="1:2" x14ac:dyDescent="0.3">
      <c r="A23" s="2" t="s">
        <v>25</v>
      </c>
      <c r="B23">
        <v>0.91199999999999992</v>
      </c>
    </row>
    <row r="24" spans="1:2" x14ac:dyDescent="0.3">
      <c r="A24" s="2" t="s">
        <v>26</v>
      </c>
      <c r="B24">
        <v>-0.56600000000000006</v>
      </c>
    </row>
    <row r="25" spans="1:2" x14ac:dyDescent="0.3">
      <c r="A25" s="2" t="s">
        <v>27</v>
      </c>
      <c r="B25">
        <v>1.5299999999999998</v>
      </c>
    </row>
    <row r="26" spans="1:2" x14ac:dyDescent="0.3">
      <c r="A26" s="2" t="s">
        <v>28</v>
      </c>
      <c r="B26">
        <v>0.59199999999999997</v>
      </c>
    </row>
    <row r="27" spans="1:2" x14ac:dyDescent="0.3">
      <c r="A27" s="2" t="s">
        <v>29</v>
      </c>
      <c r="B27">
        <v>4.1999999999999996E-2</v>
      </c>
    </row>
    <row r="28" spans="1:2" x14ac:dyDescent="0.3">
      <c r="A28" s="2" t="s">
        <v>30</v>
      </c>
      <c r="B28">
        <v>0.746</v>
      </c>
    </row>
    <row r="29" spans="1:2" x14ac:dyDescent="0.3">
      <c r="A29" s="2" t="s">
        <v>31</v>
      </c>
      <c r="B29">
        <v>1.3140000000000001</v>
      </c>
    </row>
    <row r="30" spans="1:2" x14ac:dyDescent="0.3">
      <c r="A30" s="2" t="s">
        <v>32</v>
      </c>
      <c r="B30">
        <v>2.855</v>
      </c>
    </row>
    <row r="31" spans="1:2" x14ac:dyDescent="0.3">
      <c r="A31" s="2" t="s">
        <v>33</v>
      </c>
      <c r="B31">
        <v>-1.8819999999999997</v>
      </c>
    </row>
    <row r="32" spans="1:2" x14ac:dyDescent="0.3">
      <c r="A32" s="2" t="s">
        <v>34</v>
      </c>
      <c r="B32">
        <v>1.4460000000000002</v>
      </c>
    </row>
    <row r="33" spans="1:2" x14ac:dyDescent="0.3">
      <c r="A33" s="2" t="s">
        <v>35</v>
      </c>
      <c r="B33">
        <v>1.1619999999999997</v>
      </c>
    </row>
    <row r="34" spans="1:2" x14ac:dyDescent="0.3">
      <c r="A34" s="2" t="s">
        <v>36</v>
      </c>
      <c r="B34">
        <v>-1.488</v>
      </c>
    </row>
    <row r="35" spans="1:2" x14ac:dyDescent="0.3">
      <c r="A35" s="2" t="s">
        <v>37</v>
      </c>
      <c r="B35">
        <v>-3.7519999999999998</v>
      </c>
    </row>
    <row r="36" spans="1:2" x14ac:dyDescent="0.3">
      <c r="A36" s="2" t="s">
        <v>38</v>
      </c>
      <c r="B36">
        <v>0.43600000000000005</v>
      </c>
    </row>
    <row r="37" spans="1:2" x14ac:dyDescent="0.3">
      <c r="A37" s="2" t="s">
        <v>39</v>
      </c>
      <c r="B37">
        <v>-3.6000000000000011E-2</v>
      </c>
    </row>
    <row r="38" spans="1:2" x14ac:dyDescent="0.3">
      <c r="A38" s="2" t="s">
        <v>40</v>
      </c>
      <c r="B38">
        <v>-0.58199999999999974</v>
      </c>
    </row>
    <row r="39" spans="1:2" x14ac:dyDescent="0.3">
      <c r="A39" s="2" t="s">
        <v>41</v>
      </c>
      <c r="B39">
        <v>0.11799999999999997</v>
      </c>
    </row>
    <row r="40" spans="1:2" x14ac:dyDescent="0.3">
      <c r="A40" s="2" t="s">
        <v>43</v>
      </c>
      <c r="B40">
        <v>-0.53960000000000041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F8A9-03B6-444D-A0EE-C3AC0D325D09}">
  <dimension ref="A1:B40"/>
  <sheetViews>
    <sheetView topLeftCell="A15" workbookViewId="0">
      <selection activeCell="A4" sqref="A4:A39"/>
    </sheetView>
  </sheetViews>
  <sheetFormatPr defaultRowHeight="14.4" x14ac:dyDescent="0.3"/>
  <cols>
    <col min="1" max="1" width="32.5546875" bestFit="1" customWidth="1"/>
    <col min="2" max="2" width="23.77734375" bestFit="1" customWidth="1"/>
  </cols>
  <sheetData>
    <row r="1" spans="1:2" x14ac:dyDescent="0.3">
      <c r="A1" s="1" t="s">
        <v>1</v>
      </c>
      <c r="B1" s="2">
        <v>2025</v>
      </c>
    </row>
    <row r="3" spans="1:2" x14ac:dyDescent="0.3">
      <c r="A3" s="1" t="s">
        <v>42</v>
      </c>
      <c r="B3" t="s">
        <v>45</v>
      </c>
    </row>
    <row r="4" spans="1:2" x14ac:dyDescent="0.3">
      <c r="A4" s="2" t="s">
        <v>6</v>
      </c>
      <c r="B4">
        <v>2.27</v>
      </c>
    </row>
    <row r="5" spans="1:2" x14ac:dyDescent="0.3">
      <c r="A5" s="2" t="s">
        <v>7</v>
      </c>
      <c r="B5">
        <v>31.51</v>
      </c>
    </row>
    <row r="6" spans="1:2" x14ac:dyDescent="0.3">
      <c r="A6" s="2" t="s">
        <v>8</v>
      </c>
      <c r="B6">
        <v>0.41</v>
      </c>
    </row>
    <row r="7" spans="1:2" x14ac:dyDescent="0.3">
      <c r="A7" s="2" t="s">
        <v>9</v>
      </c>
      <c r="B7">
        <v>14.45</v>
      </c>
    </row>
    <row r="8" spans="1:2" x14ac:dyDescent="0.3">
      <c r="A8" s="2" t="s">
        <v>10</v>
      </c>
      <c r="B8">
        <v>46.2</v>
      </c>
    </row>
    <row r="9" spans="1:2" x14ac:dyDescent="0.3">
      <c r="A9" s="2" t="s">
        <v>11</v>
      </c>
      <c r="B9">
        <v>67</v>
      </c>
    </row>
    <row r="10" spans="1:2" x14ac:dyDescent="0.3">
      <c r="A10" s="2" t="s">
        <v>12</v>
      </c>
      <c r="B10">
        <v>48.18</v>
      </c>
    </row>
    <row r="11" spans="1:2" x14ac:dyDescent="0.3">
      <c r="A11" s="2" t="s">
        <v>13</v>
      </c>
      <c r="B11">
        <v>41.67</v>
      </c>
    </row>
    <row r="12" spans="1:2" x14ac:dyDescent="0.3">
      <c r="A12" s="2" t="s">
        <v>14</v>
      </c>
      <c r="B12">
        <v>92.1</v>
      </c>
    </row>
    <row r="13" spans="1:2" x14ac:dyDescent="0.3">
      <c r="A13" s="2" t="s">
        <v>15</v>
      </c>
      <c r="B13">
        <v>23.3</v>
      </c>
    </row>
    <row r="14" spans="1:2" x14ac:dyDescent="0.3">
      <c r="A14" s="2" t="s">
        <v>16</v>
      </c>
      <c r="B14">
        <v>55.95</v>
      </c>
    </row>
    <row r="15" spans="1:2" x14ac:dyDescent="0.3">
      <c r="A15" s="2" t="s">
        <v>17</v>
      </c>
      <c r="B15">
        <v>136.75</v>
      </c>
    </row>
    <row r="16" spans="1:2" x14ac:dyDescent="0.3">
      <c r="A16" s="2" t="s">
        <v>18</v>
      </c>
      <c r="B16">
        <v>38.5</v>
      </c>
    </row>
    <row r="17" spans="1:2" x14ac:dyDescent="0.3">
      <c r="A17" s="2" t="s">
        <v>19</v>
      </c>
      <c r="B17">
        <v>24.73</v>
      </c>
    </row>
    <row r="18" spans="1:2" x14ac:dyDescent="0.3">
      <c r="A18" s="2" t="s">
        <v>20</v>
      </c>
      <c r="B18">
        <v>32.89</v>
      </c>
    </row>
    <row r="19" spans="1:2" x14ac:dyDescent="0.3">
      <c r="A19" s="2" t="s">
        <v>21</v>
      </c>
      <c r="B19">
        <v>66.489999999999995</v>
      </c>
    </row>
    <row r="20" spans="1:2" x14ac:dyDescent="0.3">
      <c r="A20" s="2" t="s">
        <v>22</v>
      </c>
      <c r="B20">
        <v>49.95</v>
      </c>
    </row>
    <row r="21" spans="1:2" x14ac:dyDescent="0.3">
      <c r="A21" s="2" t="s">
        <v>23</v>
      </c>
      <c r="B21">
        <v>30.93</v>
      </c>
    </row>
    <row r="22" spans="1:2" x14ac:dyDescent="0.3">
      <c r="A22" s="2" t="s">
        <v>24</v>
      </c>
      <c r="B22">
        <v>57.79</v>
      </c>
    </row>
    <row r="23" spans="1:2" x14ac:dyDescent="0.3">
      <c r="A23" s="2" t="s">
        <v>25</v>
      </c>
      <c r="B23">
        <v>59.32</v>
      </c>
    </row>
    <row r="24" spans="1:2" x14ac:dyDescent="0.3">
      <c r="A24" s="2" t="s">
        <v>26</v>
      </c>
      <c r="B24">
        <v>51.79</v>
      </c>
    </row>
    <row r="25" spans="1:2" x14ac:dyDescent="0.3">
      <c r="A25" s="2" t="s">
        <v>27</v>
      </c>
      <c r="B25">
        <v>9.09</v>
      </c>
    </row>
    <row r="26" spans="1:2" x14ac:dyDescent="0.3">
      <c r="A26" s="2" t="s">
        <v>28</v>
      </c>
      <c r="B26">
        <v>5.24</v>
      </c>
    </row>
    <row r="27" spans="1:2" x14ac:dyDescent="0.3">
      <c r="A27" s="2" t="s">
        <v>29</v>
      </c>
      <c r="B27">
        <v>4.03</v>
      </c>
    </row>
    <row r="28" spans="1:2" x14ac:dyDescent="0.3">
      <c r="A28" s="2" t="s">
        <v>30</v>
      </c>
      <c r="B28">
        <v>4.72</v>
      </c>
    </row>
    <row r="29" spans="1:2" x14ac:dyDescent="0.3">
      <c r="A29" s="2" t="s">
        <v>31</v>
      </c>
      <c r="B29">
        <v>48.75</v>
      </c>
    </row>
    <row r="30" spans="1:2" x14ac:dyDescent="0.3">
      <c r="A30" s="2" t="s">
        <v>32</v>
      </c>
      <c r="B30">
        <v>75.98</v>
      </c>
    </row>
    <row r="31" spans="1:2" x14ac:dyDescent="0.3">
      <c r="A31" s="2" t="s">
        <v>33</v>
      </c>
      <c r="B31">
        <v>156.36000000000001</v>
      </c>
    </row>
    <row r="32" spans="1:2" x14ac:dyDescent="0.3">
      <c r="A32" s="2" t="s">
        <v>34</v>
      </c>
      <c r="B32">
        <v>147.11000000000001</v>
      </c>
    </row>
    <row r="33" spans="1:2" x14ac:dyDescent="0.3">
      <c r="A33" s="2" t="s">
        <v>35</v>
      </c>
      <c r="B33">
        <v>5.87</v>
      </c>
    </row>
    <row r="34" spans="1:2" x14ac:dyDescent="0.3">
      <c r="A34" s="2" t="s">
        <v>36</v>
      </c>
      <c r="B34">
        <v>73.5</v>
      </c>
    </row>
    <row r="35" spans="1:2" x14ac:dyDescent="0.3">
      <c r="A35" s="2" t="s">
        <v>37</v>
      </c>
      <c r="B35">
        <v>46.69</v>
      </c>
    </row>
    <row r="36" spans="1:2" x14ac:dyDescent="0.3">
      <c r="A36" s="2" t="s">
        <v>38</v>
      </c>
      <c r="B36">
        <v>10.06</v>
      </c>
    </row>
    <row r="37" spans="1:2" x14ac:dyDescent="0.3">
      <c r="A37" s="2" t="s">
        <v>39</v>
      </c>
      <c r="B37">
        <v>70</v>
      </c>
    </row>
    <row r="38" spans="1:2" x14ac:dyDescent="0.3">
      <c r="A38" s="2" t="s">
        <v>40</v>
      </c>
      <c r="B38">
        <v>53.92</v>
      </c>
    </row>
    <row r="39" spans="1:2" x14ac:dyDescent="0.3">
      <c r="A39" s="2" t="s">
        <v>41</v>
      </c>
      <c r="B39">
        <v>45.19</v>
      </c>
    </row>
    <row r="40" spans="1:2" x14ac:dyDescent="0.3">
      <c r="A40" s="2" t="s">
        <v>43</v>
      </c>
      <c r="B40">
        <v>48.019166666666671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5CD8-254D-489C-B142-7176E93CAFFA}">
  <dimension ref="A1:F37"/>
  <sheetViews>
    <sheetView tabSelected="1" zoomScale="85" zoomScaleNormal="85" workbookViewId="0">
      <selection activeCell="B2" sqref="B2"/>
    </sheetView>
  </sheetViews>
  <sheetFormatPr defaultRowHeight="14.4" x14ac:dyDescent="0.3"/>
  <cols>
    <col min="1" max="1" width="32.5546875" bestFit="1" customWidth="1"/>
    <col min="2" max="2" width="15.109375" customWidth="1"/>
    <col min="3" max="3" width="17.6640625" customWidth="1"/>
    <col min="4" max="5" width="15.33203125" customWidth="1"/>
    <col min="6" max="6" width="20.5546875" bestFit="1" customWidth="1"/>
  </cols>
  <sheetData>
    <row r="1" spans="1:6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 x14ac:dyDescent="0.3">
      <c r="A2" s="2" t="s">
        <v>33</v>
      </c>
      <c r="B2">
        <f>VLOOKUP(A2, Sheet2!A:B, 2, FALSE)</f>
        <v>156.36000000000001</v>
      </c>
      <c r="C2">
        <f>VLOOKUP(A2,Sheet1!A31:B66,2,FALSE)</f>
        <v>-1.8819999999999997</v>
      </c>
      <c r="D2">
        <f t="shared" ref="D2:D37" si="0">B2+(C2*2)</f>
        <v>152.596</v>
      </c>
      <c r="E2">
        <f t="shared" ref="E2:E37" si="1">MAX(0,B2+(C2*5))</f>
        <v>146.95000000000002</v>
      </c>
      <c r="F2" t="str">
        <f t="shared" ref="F2:F37" si="2">IF(OR(A2="Himachal Pradesh", A2="Dadra &amp; Nagar Haveli and Daman &amp; Diu"), "Low confidence - non-linear trend", "Reliable")</f>
        <v>Reliable</v>
      </c>
    </row>
    <row r="3" spans="1:6" x14ac:dyDescent="0.3">
      <c r="A3" s="2" t="s">
        <v>34</v>
      </c>
      <c r="B3">
        <f>VLOOKUP(A3, Sheet2!A:B, 2, FALSE)</f>
        <v>147.11000000000001</v>
      </c>
      <c r="C3">
        <f>VLOOKUP(A3,Sheet1!A32:B67,2,FALSE)</f>
        <v>1.4460000000000002</v>
      </c>
      <c r="D3">
        <f t="shared" si="0"/>
        <v>150.00200000000001</v>
      </c>
      <c r="E3">
        <f t="shared" si="1"/>
        <v>154.34</v>
      </c>
      <c r="F3" t="str">
        <f t="shared" si="2"/>
        <v>Reliable</v>
      </c>
    </row>
    <row r="4" spans="1:6" x14ac:dyDescent="0.3">
      <c r="A4" s="2" t="s">
        <v>17</v>
      </c>
      <c r="B4">
        <f>VLOOKUP(A4, Sheet2!A:B, 2, FALSE)</f>
        <v>136.75</v>
      </c>
      <c r="C4">
        <f>VLOOKUP(A4,Sheet1!A15:B50,2,FALSE)</f>
        <v>-3.1999999999999987E-2</v>
      </c>
      <c r="D4">
        <f t="shared" si="0"/>
        <v>136.68600000000001</v>
      </c>
      <c r="E4">
        <f t="shared" si="1"/>
        <v>136.59</v>
      </c>
      <c r="F4" t="str">
        <f t="shared" si="2"/>
        <v>Reliable</v>
      </c>
    </row>
    <row r="5" spans="1:6" x14ac:dyDescent="0.3">
      <c r="A5" s="2" t="s">
        <v>14</v>
      </c>
      <c r="B5">
        <f>VLOOKUP(A5, Sheet2!A:B, 2, FALSE)</f>
        <v>92.1</v>
      </c>
      <c r="C5">
        <f>VLOOKUP(A5,Sheet1!A12:B47,2,FALSE)</f>
        <v>-5.5020000000000007</v>
      </c>
      <c r="D5">
        <f t="shared" si="0"/>
        <v>81.095999999999989</v>
      </c>
      <c r="E5">
        <f t="shared" si="1"/>
        <v>64.589999999999989</v>
      </c>
      <c r="F5" t="str">
        <f t="shared" si="2"/>
        <v>Reliable</v>
      </c>
    </row>
    <row r="6" spans="1:6" x14ac:dyDescent="0.3">
      <c r="A6" s="2" t="s">
        <v>32</v>
      </c>
      <c r="B6">
        <f>VLOOKUP(A6, Sheet2!A:B, 2, FALSE)</f>
        <v>75.98</v>
      </c>
      <c r="C6">
        <f>VLOOKUP(A6,Sheet1!A30:B65,2,FALSE)</f>
        <v>2.855</v>
      </c>
      <c r="D6">
        <f t="shared" si="0"/>
        <v>81.69</v>
      </c>
      <c r="E6">
        <f t="shared" si="1"/>
        <v>90.25500000000001</v>
      </c>
      <c r="F6" t="str">
        <f t="shared" si="2"/>
        <v>Reliable</v>
      </c>
    </row>
    <row r="7" spans="1:6" x14ac:dyDescent="0.3">
      <c r="A7" s="2" t="s">
        <v>36</v>
      </c>
      <c r="B7">
        <f>VLOOKUP(A7, Sheet2!A:B, 2, FALSE)</f>
        <v>73.5</v>
      </c>
      <c r="C7">
        <f>VLOOKUP(A7,Sheet1!A34:B69,2,FALSE)</f>
        <v>-1.488</v>
      </c>
      <c r="D7">
        <f t="shared" si="0"/>
        <v>70.524000000000001</v>
      </c>
      <c r="E7">
        <f t="shared" si="1"/>
        <v>66.06</v>
      </c>
      <c r="F7" t="str">
        <f t="shared" si="2"/>
        <v>Reliable</v>
      </c>
    </row>
    <row r="8" spans="1:6" x14ac:dyDescent="0.3">
      <c r="A8" s="2" t="s">
        <v>39</v>
      </c>
      <c r="B8">
        <f>VLOOKUP(A8, Sheet2!A:B, 2, FALSE)</f>
        <v>70</v>
      </c>
      <c r="C8">
        <f>VLOOKUP(A8,Sheet1!A37:B72,2,FALSE)</f>
        <v>-3.6000000000000011E-2</v>
      </c>
      <c r="D8">
        <f t="shared" si="0"/>
        <v>69.927999999999997</v>
      </c>
      <c r="E8">
        <f t="shared" si="1"/>
        <v>69.819999999999993</v>
      </c>
      <c r="F8" t="str">
        <f t="shared" si="2"/>
        <v>Reliable</v>
      </c>
    </row>
    <row r="9" spans="1:6" x14ac:dyDescent="0.3">
      <c r="A9" s="2" t="s">
        <v>11</v>
      </c>
      <c r="B9">
        <f>VLOOKUP(A9, Sheet2!A:B, 2, FALSE)</f>
        <v>67</v>
      </c>
      <c r="C9">
        <f>VLOOKUP(A9,Sheet1!A9:B44,2,FALSE)</f>
        <v>-4.3999999999999995</v>
      </c>
      <c r="D9">
        <f t="shared" si="0"/>
        <v>58.2</v>
      </c>
      <c r="E9">
        <f t="shared" si="1"/>
        <v>45</v>
      </c>
      <c r="F9" t="str">
        <f t="shared" si="2"/>
        <v>Reliable</v>
      </c>
    </row>
    <row r="10" spans="1:6" x14ac:dyDescent="0.3">
      <c r="A10" s="2" t="s">
        <v>21</v>
      </c>
      <c r="B10">
        <f>VLOOKUP(A10, Sheet2!A:B, 2, FALSE)</f>
        <v>66.489999999999995</v>
      </c>
      <c r="C10">
        <f>VLOOKUP(A10,Sheet1!A19:B54,2,FALSE)</f>
        <v>-0.67599999999999982</v>
      </c>
      <c r="D10">
        <f t="shared" si="0"/>
        <v>65.137999999999991</v>
      </c>
      <c r="E10">
        <f t="shared" si="1"/>
        <v>63.11</v>
      </c>
      <c r="F10" t="str">
        <f t="shared" si="2"/>
        <v>Reliable</v>
      </c>
    </row>
    <row r="11" spans="1:6" x14ac:dyDescent="0.3">
      <c r="A11" s="2" t="s">
        <v>25</v>
      </c>
      <c r="B11">
        <f>VLOOKUP(A11, Sheet2!A:B, 2, FALSE)</f>
        <v>59.32</v>
      </c>
      <c r="C11">
        <f>VLOOKUP(A11,Sheet1!A23:B58,2,FALSE)</f>
        <v>0.91199999999999992</v>
      </c>
      <c r="D11">
        <f t="shared" si="0"/>
        <v>61.143999999999998</v>
      </c>
      <c r="E11">
        <f t="shared" si="1"/>
        <v>63.88</v>
      </c>
      <c r="F11" t="str">
        <f t="shared" si="2"/>
        <v>Reliable</v>
      </c>
    </row>
    <row r="12" spans="1:6" x14ac:dyDescent="0.3">
      <c r="A12" s="2" t="s">
        <v>24</v>
      </c>
      <c r="B12">
        <f>VLOOKUP(A12, Sheet2!A:B, 2, FALSE)</f>
        <v>57.79</v>
      </c>
      <c r="C12">
        <f>VLOOKUP(A12,Sheet1!A22:B57,2,FALSE)</f>
        <v>-0.16999999999999993</v>
      </c>
      <c r="D12">
        <f t="shared" si="0"/>
        <v>57.45</v>
      </c>
      <c r="E12">
        <f t="shared" si="1"/>
        <v>56.94</v>
      </c>
      <c r="F12" t="str">
        <f t="shared" si="2"/>
        <v>Reliable</v>
      </c>
    </row>
    <row r="13" spans="1:6" x14ac:dyDescent="0.3">
      <c r="A13" s="2" t="s">
        <v>16</v>
      </c>
      <c r="B13">
        <f>VLOOKUP(A13, Sheet2!A:B, 2, FALSE)</f>
        <v>55.95</v>
      </c>
      <c r="C13">
        <f>VLOOKUP(A13,Sheet1!A14:B49,2,FALSE)</f>
        <v>-1.5880000000000003</v>
      </c>
      <c r="D13">
        <f t="shared" si="0"/>
        <v>52.774000000000001</v>
      </c>
      <c r="E13">
        <f t="shared" si="1"/>
        <v>48.010000000000005</v>
      </c>
      <c r="F13" t="str">
        <f t="shared" si="2"/>
        <v>Reliable</v>
      </c>
    </row>
    <row r="14" spans="1:6" x14ac:dyDescent="0.3">
      <c r="A14" s="2" t="s">
        <v>40</v>
      </c>
      <c r="B14">
        <f>VLOOKUP(A14, Sheet2!A:B, 2, FALSE)</f>
        <v>53.92</v>
      </c>
      <c r="C14">
        <f>VLOOKUP(A14,Sheet1!A38:B73,2,FALSE)</f>
        <v>-0.58199999999999974</v>
      </c>
      <c r="D14">
        <f t="shared" si="0"/>
        <v>52.756</v>
      </c>
      <c r="E14">
        <f t="shared" si="1"/>
        <v>51.010000000000005</v>
      </c>
      <c r="F14" t="str">
        <f t="shared" si="2"/>
        <v>Reliable</v>
      </c>
    </row>
    <row r="15" spans="1:6" x14ac:dyDescent="0.3">
      <c r="A15" s="2" t="s">
        <v>26</v>
      </c>
      <c r="B15">
        <f>VLOOKUP(A15, Sheet2!A:B, 2, FALSE)</f>
        <v>51.79</v>
      </c>
      <c r="C15">
        <f>VLOOKUP(A15,Sheet1!A24:B59,2,FALSE)</f>
        <v>-0.56600000000000006</v>
      </c>
      <c r="D15">
        <f t="shared" si="0"/>
        <v>50.658000000000001</v>
      </c>
      <c r="E15">
        <f t="shared" si="1"/>
        <v>48.96</v>
      </c>
      <c r="F15" t="str">
        <f t="shared" si="2"/>
        <v>Reliable</v>
      </c>
    </row>
    <row r="16" spans="1:6" x14ac:dyDescent="0.3">
      <c r="A16" s="2" t="s">
        <v>22</v>
      </c>
      <c r="B16">
        <f>VLOOKUP(A16, Sheet2!A:B, 2, FALSE)</f>
        <v>49.95</v>
      </c>
      <c r="C16">
        <f>VLOOKUP(A16,Sheet1!A20:B55,2,FALSE)</f>
        <v>-0.26399999999999996</v>
      </c>
      <c r="D16">
        <f t="shared" si="0"/>
        <v>49.422000000000004</v>
      </c>
      <c r="E16">
        <f t="shared" si="1"/>
        <v>48.63</v>
      </c>
      <c r="F16" t="str">
        <f t="shared" si="2"/>
        <v>Reliable</v>
      </c>
    </row>
    <row r="17" spans="1:6" x14ac:dyDescent="0.3">
      <c r="A17" s="2" t="s">
        <v>31</v>
      </c>
      <c r="B17">
        <f>VLOOKUP(A17, Sheet2!A:B, 2, FALSE)</f>
        <v>48.75</v>
      </c>
      <c r="C17">
        <f>VLOOKUP(A17,Sheet1!A29:B64,2,FALSE)</f>
        <v>1.3140000000000001</v>
      </c>
      <c r="D17">
        <f t="shared" si="0"/>
        <v>51.378</v>
      </c>
      <c r="E17">
        <f t="shared" si="1"/>
        <v>55.32</v>
      </c>
      <c r="F17" t="str">
        <f t="shared" si="2"/>
        <v>Reliable</v>
      </c>
    </row>
    <row r="18" spans="1:6" x14ac:dyDescent="0.3">
      <c r="A18" s="2" t="s">
        <v>12</v>
      </c>
      <c r="B18">
        <f>VLOOKUP(A18, Sheet2!A:B, 2, FALSE)</f>
        <v>48.18</v>
      </c>
      <c r="C18">
        <f>VLOOKUP(A18,Sheet1!A10:B45,2,FALSE)</f>
        <v>0.75</v>
      </c>
      <c r="D18">
        <f t="shared" si="0"/>
        <v>49.68</v>
      </c>
      <c r="E18">
        <f t="shared" si="1"/>
        <v>51.93</v>
      </c>
      <c r="F18" t="str">
        <f t="shared" si="2"/>
        <v>Reliable</v>
      </c>
    </row>
    <row r="19" spans="1:6" x14ac:dyDescent="0.3">
      <c r="A19" s="2" t="s">
        <v>37</v>
      </c>
      <c r="B19">
        <f>VLOOKUP(A19, Sheet2!A:B, 2, FALSE)</f>
        <v>46.69</v>
      </c>
      <c r="C19">
        <f>VLOOKUP(A19,Sheet1!A35:B70,2,FALSE)</f>
        <v>-3.7519999999999998</v>
      </c>
      <c r="D19">
        <f t="shared" si="0"/>
        <v>39.186</v>
      </c>
      <c r="E19">
        <f t="shared" si="1"/>
        <v>27.93</v>
      </c>
      <c r="F19" t="str">
        <f t="shared" si="2"/>
        <v>Reliable</v>
      </c>
    </row>
    <row r="20" spans="1:6" x14ac:dyDescent="0.3">
      <c r="A20" s="2" t="s">
        <v>10</v>
      </c>
      <c r="B20">
        <f>VLOOKUP(A20, Sheet2!A:B, 2, FALSE)</f>
        <v>46.2</v>
      </c>
      <c r="C20">
        <f>VLOOKUP(A20,Sheet1!A8:B43,2,FALSE)</f>
        <v>8.7999999999999967E-2</v>
      </c>
      <c r="D20">
        <f t="shared" si="0"/>
        <v>46.376000000000005</v>
      </c>
      <c r="E20">
        <f t="shared" si="1"/>
        <v>46.64</v>
      </c>
      <c r="F20" t="str">
        <f t="shared" si="2"/>
        <v>Reliable</v>
      </c>
    </row>
    <row r="21" spans="1:6" x14ac:dyDescent="0.3">
      <c r="A21" s="2" t="s">
        <v>41</v>
      </c>
      <c r="B21">
        <f>VLOOKUP(A21, Sheet2!A:B, 2, FALSE)</f>
        <v>45.19</v>
      </c>
      <c r="C21">
        <f>VLOOKUP(A21,Sheet1!A39:B74,2,FALSE)</f>
        <v>0.11799999999999997</v>
      </c>
      <c r="D21">
        <f t="shared" si="0"/>
        <v>45.425999999999995</v>
      </c>
      <c r="E21">
        <f t="shared" si="1"/>
        <v>45.78</v>
      </c>
      <c r="F21" t="str">
        <f t="shared" si="2"/>
        <v>Reliable</v>
      </c>
    </row>
    <row r="22" spans="1:6" x14ac:dyDescent="0.3">
      <c r="A22" s="2" t="s">
        <v>13</v>
      </c>
      <c r="B22">
        <f>VLOOKUP(A22, Sheet2!A:B, 2, FALSE)</f>
        <v>41.67</v>
      </c>
      <c r="C22">
        <f>VLOOKUP(A22,Sheet1!A11:B46,2,FALSE)</f>
        <v>2.6200000000000019</v>
      </c>
      <c r="D22">
        <f t="shared" si="0"/>
        <v>46.910000000000004</v>
      </c>
      <c r="E22">
        <f t="shared" si="1"/>
        <v>54.77000000000001</v>
      </c>
      <c r="F22" t="str">
        <f t="shared" si="2"/>
        <v>Low confidence - non-linear trend</v>
      </c>
    </row>
    <row r="23" spans="1:6" x14ac:dyDescent="0.3">
      <c r="A23" s="2" t="s">
        <v>18</v>
      </c>
      <c r="B23">
        <f>VLOOKUP(A23, Sheet2!A:B, 2, FALSE)</f>
        <v>38.5</v>
      </c>
      <c r="C23">
        <f>VLOOKUP(A23,Sheet1!A16:B51,2,FALSE)</f>
        <v>-9.5739999999999998</v>
      </c>
      <c r="D23">
        <f t="shared" si="0"/>
        <v>19.352</v>
      </c>
      <c r="E23">
        <f t="shared" si="1"/>
        <v>0</v>
      </c>
      <c r="F23" t="str">
        <f t="shared" si="2"/>
        <v>Low confidence - non-linear trend</v>
      </c>
    </row>
    <row r="24" spans="1:6" x14ac:dyDescent="0.3">
      <c r="A24" s="2" t="s">
        <v>20</v>
      </c>
      <c r="B24">
        <f>VLOOKUP(A24, Sheet2!A:B, 2, FALSE)</f>
        <v>32.89</v>
      </c>
      <c r="C24">
        <f>VLOOKUP(A24,Sheet1!A18:B53,2,FALSE)</f>
        <v>1.032</v>
      </c>
      <c r="D24">
        <f t="shared" si="0"/>
        <v>34.954000000000001</v>
      </c>
      <c r="E24">
        <f t="shared" si="1"/>
        <v>38.049999999999997</v>
      </c>
      <c r="F24" t="str">
        <f t="shared" si="2"/>
        <v>Reliable</v>
      </c>
    </row>
    <row r="25" spans="1:6" x14ac:dyDescent="0.3">
      <c r="A25" s="2" t="s">
        <v>7</v>
      </c>
      <c r="B25">
        <f>VLOOKUP(A25, Sheet2!A:B, 2, FALSE)</f>
        <v>31.51</v>
      </c>
      <c r="C25">
        <f>VLOOKUP(A25,Sheet1!A5:B40,2,FALSE)</f>
        <v>-2.528</v>
      </c>
      <c r="D25">
        <f t="shared" si="0"/>
        <v>26.454000000000001</v>
      </c>
      <c r="E25">
        <f t="shared" si="1"/>
        <v>18.87</v>
      </c>
      <c r="F25" t="str">
        <f t="shared" si="2"/>
        <v>Reliable</v>
      </c>
    </row>
    <row r="26" spans="1:6" x14ac:dyDescent="0.3">
      <c r="A26" s="2" t="s">
        <v>23</v>
      </c>
      <c r="B26">
        <f>VLOOKUP(A26, Sheet2!A:B, 2, FALSE)</f>
        <v>30.93</v>
      </c>
      <c r="C26">
        <f>VLOOKUP(A26,Sheet1!A21:B56,2,FALSE)</f>
        <v>3.2575000000000003</v>
      </c>
      <c r="D26">
        <f t="shared" si="0"/>
        <v>37.445</v>
      </c>
      <c r="E26">
        <f t="shared" si="1"/>
        <v>47.217500000000001</v>
      </c>
      <c r="F26" t="str">
        <f t="shared" si="2"/>
        <v>Reliable</v>
      </c>
    </row>
    <row r="27" spans="1:6" x14ac:dyDescent="0.3">
      <c r="A27" s="2" t="s">
        <v>19</v>
      </c>
      <c r="B27">
        <f>VLOOKUP(A27, Sheet2!A:B, 2, FALSE)</f>
        <v>24.73</v>
      </c>
      <c r="C27">
        <f>VLOOKUP(A27,Sheet1!A17:B52,2,FALSE)</f>
        <v>-0.94799999999999984</v>
      </c>
      <c r="D27">
        <f t="shared" si="0"/>
        <v>22.834</v>
      </c>
      <c r="E27">
        <f t="shared" si="1"/>
        <v>19.990000000000002</v>
      </c>
      <c r="F27" t="str">
        <f t="shared" si="2"/>
        <v>Reliable</v>
      </c>
    </row>
    <row r="28" spans="1:6" x14ac:dyDescent="0.3">
      <c r="A28" s="2" t="s">
        <v>15</v>
      </c>
      <c r="B28">
        <f>VLOOKUP(A28, Sheet2!A:B, 2, FALSE)</f>
        <v>23.3</v>
      </c>
      <c r="C28">
        <f>VLOOKUP(A28,Sheet1!A13:B48,2,FALSE)</f>
        <v>-2.04</v>
      </c>
      <c r="D28">
        <f t="shared" si="0"/>
        <v>19.22</v>
      </c>
      <c r="E28">
        <f t="shared" si="1"/>
        <v>13.100000000000001</v>
      </c>
      <c r="F28" t="str">
        <f t="shared" si="2"/>
        <v>Reliable</v>
      </c>
    </row>
    <row r="29" spans="1:6" x14ac:dyDescent="0.3">
      <c r="A29" s="2" t="s">
        <v>9</v>
      </c>
      <c r="B29">
        <f>VLOOKUP(A29, Sheet2!A:B, 2, FALSE)</f>
        <v>14.45</v>
      </c>
      <c r="C29">
        <f>VLOOKUP(A29,Sheet1!A7:B42,2,FALSE)</f>
        <v>0.64</v>
      </c>
      <c r="D29">
        <f t="shared" si="0"/>
        <v>15.729999999999999</v>
      </c>
      <c r="E29">
        <f t="shared" si="1"/>
        <v>17.649999999999999</v>
      </c>
      <c r="F29" t="str">
        <f t="shared" si="2"/>
        <v>Reliable</v>
      </c>
    </row>
    <row r="30" spans="1:6" x14ac:dyDescent="0.3">
      <c r="A30" s="2" t="s">
        <v>38</v>
      </c>
      <c r="B30">
        <f>VLOOKUP(A30, Sheet2!A:B, 2, FALSE)</f>
        <v>10.06</v>
      </c>
      <c r="C30">
        <f>VLOOKUP(A30,Sheet1!A36:B71,2,FALSE)</f>
        <v>0.43600000000000005</v>
      </c>
      <c r="D30">
        <f t="shared" si="0"/>
        <v>10.932</v>
      </c>
      <c r="E30">
        <f t="shared" si="1"/>
        <v>12.24</v>
      </c>
      <c r="F30" t="str">
        <f t="shared" si="2"/>
        <v>Reliable</v>
      </c>
    </row>
    <row r="31" spans="1:6" x14ac:dyDescent="0.3">
      <c r="A31" s="2" t="s">
        <v>27</v>
      </c>
      <c r="B31">
        <f>VLOOKUP(A31, Sheet2!A:B, 2, FALSE)</f>
        <v>9.09</v>
      </c>
      <c r="C31">
        <f>VLOOKUP(A31,Sheet1!A25:B60,2,FALSE)</f>
        <v>1.5299999999999998</v>
      </c>
      <c r="D31">
        <f t="shared" si="0"/>
        <v>12.149999999999999</v>
      </c>
      <c r="E31">
        <f t="shared" si="1"/>
        <v>16.739999999999998</v>
      </c>
      <c r="F31" t="str">
        <f t="shared" si="2"/>
        <v>Reliable</v>
      </c>
    </row>
    <row r="32" spans="1:6" x14ac:dyDescent="0.3">
      <c r="A32" s="2" t="s">
        <v>35</v>
      </c>
      <c r="B32">
        <f>VLOOKUP(A32, Sheet2!A:B, 2, FALSE)</f>
        <v>5.87</v>
      </c>
      <c r="C32">
        <f>VLOOKUP(A32,Sheet1!A33:B68,2,FALSE)</f>
        <v>1.1619999999999997</v>
      </c>
      <c r="D32">
        <f t="shared" si="0"/>
        <v>8.1939999999999991</v>
      </c>
      <c r="E32">
        <f t="shared" si="1"/>
        <v>11.68</v>
      </c>
      <c r="F32" t="str">
        <f t="shared" si="2"/>
        <v>Reliable</v>
      </c>
    </row>
    <row r="33" spans="1:6" x14ac:dyDescent="0.3">
      <c r="A33" s="2" t="s">
        <v>28</v>
      </c>
      <c r="B33">
        <f>VLOOKUP(A33, Sheet2!A:B, 2, FALSE)</f>
        <v>5.24</v>
      </c>
      <c r="C33">
        <f>VLOOKUP(A33,Sheet1!A26:B61,2,FALSE)</f>
        <v>0.59199999999999997</v>
      </c>
      <c r="D33">
        <f t="shared" si="0"/>
        <v>6.4240000000000004</v>
      </c>
      <c r="E33">
        <f t="shared" si="1"/>
        <v>8.1999999999999993</v>
      </c>
      <c r="F33" t="str">
        <f t="shared" si="2"/>
        <v>Reliable</v>
      </c>
    </row>
    <row r="34" spans="1:6" x14ac:dyDescent="0.3">
      <c r="A34" s="2" t="s">
        <v>30</v>
      </c>
      <c r="B34">
        <f>VLOOKUP(A34, Sheet2!A:B, 2, FALSE)</f>
        <v>4.72</v>
      </c>
      <c r="C34">
        <f>VLOOKUP(A34,Sheet1!A28:B63,2,FALSE)</f>
        <v>0.746</v>
      </c>
      <c r="D34">
        <f t="shared" si="0"/>
        <v>6.2119999999999997</v>
      </c>
      <c r="E34">
        <f t="shared" si="1"/>
        <v>8.4499999999999993</v>
      </c>
      <c r="F34" t="str">
        <f t="shared" si="2"/>
        <v>Reliable</v>
      </c>
    </row>
    <row r="35" spans="1:6" x14ac:dyDescent="0.3">
      <c r="A35" s="2" t="s">
        <v>29</v>
      </c>
      <c r="B35">
        <f>VLOOKUP(A35, Sheet2!A:B, 2, FALSE)</f>
        <v>4.03</v>
      </c>
      <c r="C35">
        <f>VLOOKUP(A35,Sheet1!A27:B62,2,FALSE)</f>
        <v>4.1999999999999996E-2</v>
      </c>
      <c r="D35">
        <f t="shared" si="0"/>
        <v>4.1139999999999999</v>
      </c>
      <c r="E35">
        <f t="shared" si="1"/>
        <v>4.24</v>
      </c>
      <c r="F35" t="str">
        <f t="shared" si="2"/>
        <v>Reliable</v>
      </c>
    </row>
    <row r="36" spans="1:6" x14ac:dyDescent="0.3">
      <c r="A36" s="2" t="s">
        <v>6</v>
      </c>
      <c r="B36">
        <f>VLOOKUP(A36,Sheet2!A4:B39,2,FALSE)</f>
        <v>2.27</v>
      </c>
      <c r="C36">
        <f>VLOOKUP(A36,Sheet1!A4:B39,2,FALSE)</f>
        <v>-9.4000000000000028E-2</v>
      </c>
      <c r="D36">
        <f t="shared" si="0"/>
        <v>2.0819999999999999</v>
      </c>
      <c r="E36">
        <f t="shared" si="1"/>
        <v>1.7999999999999998</v>
      </c>
      <c r="F36" t="str">
        <f t="shared" si="2"/>
        <v>Reliable</v>
      </c>
    </row>
    <row r="37" spans="1:6" x14ac:dyDescent="0.3">
      <c r="A37" s="2" t="s">
        <v>8</v>
      </c>
      <c r="B37">
        <f>VLOOKUP(A37, Sheet2!A:B, 2, FALSE)</f>
        <v>0.41</v>
      </c>
      <c r="C37">
        <f>VLOOKUP(A37,Sheet1!A6:B41,2,FALSE)</f>
        <v>2.6000000000000002E-2</v>
      </c>
      <c r="D37">
        <f t="shared" si="0"/>
        <v>0.46199999999999997</v>
      </c>
      <c r="E37">
        <f t="shared" si="1"/>
        <v>0.54</v>
      </c>
      <c r="F37" t="str">
        <f t="shared" si="2"/>
        <v>Reliable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94A3-FFE5-409A-A1FB-F6A727B3F5B6}">
  <dimension ref="A1:J212"/>
  <sheetViews>
    <sheetView workbookViewId="0">
      <selection activeCell="J2" sqref="J2:J37"/>
    </sheetView>
  </sheetViews>
  <sheetFormatPr defaultRowHeight="14.4" x14ac:dyDescent="0.3"/>
  <cols>
    <col min="1" max="1" width="32.5546875" bestFit="1" customWidth="1"/>
    <col min="2" max="2" width="5" bestFit="1" customWidth="1"/>
    <col min="3" max="3" width="14.21875" bestFit="1" customWidth="1"/>
    <col min="4" max="4" width="18.5546875" bestFit="1" customWidth="1"/>
    <col min="5" max="6" width="10.21875" bestFit="1" customWidth="1"/>
    <col min="10" max="10" width="32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6</v>
      </c>
      <c r="B2">
        <v>2017</v>
      </c>
      <c r="C2">
        <v>2.74</v>
      </c>
      <c r="F2">
        <v>28</v>
      </c>
      <c r="J2" t="str" cm="1">
        <f t="array" ref="J2:J37">_xlfn.UNIQUE(A2:A212)</f>
        <v>Andaman &amp; Nicobar</v>
      </c>
    </row>
    <row r="3" spans="1:10" x14ac:dyDescent="0.3">
      <c r="A3" t="s">
        <v>6</v>
      </c>
      <c r="B3">
        <v>2020</v>
      </c>
      <c r="C3">
        <v>2.6</v>
      </c>
      <c r="D3">
        <v>2.74</v>
      </c>
      <c r="E3">
        <v>-0.14000000000000001</v>
      </c>
      <c r="F3">
        <v>32</v>
      </c>
      <c r="J3" t="str">
        <v>Andhra Pradesh</v>
      </c>
    </row>
    <row r="4" spans="1:10" x14ac:dyDescent="0.3">
      <c r="A4" t="s">
        <v>6</v>
      </c>
      <c r="B4">
        <v>2022</v>
      </c>
      <c r="C4">
        <v>1.35</v>
      </c>
      <c r="D4">
        <v>2.6</v>
      </c>
      <c r="E4">
        <v>-1.25</v>
      </c>
      <c r="F4">
        <v>34</v>
      </c>
      <c r="J4" t="str">
        <v>Arunachal Pradesh</v>
      </c>
    </row>
    <row r="5" spans="1:10" x14ac:dyDescent="0.3">
      <c r="A5" t="s">
        <v>6</v>
      </c>
      <c r="B5">
        <v>2023</v>
      </c>
      <c r="C5">
        <v>1.37</v>
      </c>
      <c r="D5">
        <v>1.35</v>
      </c>
      <c r="E5">
        <v>0.02</v>
      </c>
      <c r="F5">
        <v>35</v>
      </c>
      <c r="J5" t="str">
        <v>Assam</v>
      </c>
    </row>
    <row r="6" spans="1:10" x14ac:dyDescent="0.3">
      <c r="A6" t="s">
        <v>6</v>
      </c>
      <c r="B6">
        <v>2024</v>
      </c>
      <c r="C6">
        <v>2.08</v>
      </c>
      <c r="D6">
        <v>1.37</v>
      </c>
      <c r="E6">
        <v>0.71</v>
      </c>
      <c r="F6">
        <v>35</v>
      </c>
      <c r="J6" t="str">
        <v>Bihar</v>
      </c>
    </row>
    <row r="7" spans="1:10" x14ac:dyDescent="0.3">
      <c r="A7" t="s">
        <v>6</v>
      </c>
      <c r="B7">
        <v>2025</v>
      </c>
      <c r="C7">
        <v>2.27</v>
      </c>
      <c r="D7">
        <v>2.08</v>
      </c>
      <c r="E7">
        <v>0.19</v>
      </c>
      <c r="F7">
        <v>35</v>
      </c>
      <c r="J7" t="str">
        <v>Chandigarh</v>
      </c>
    </row>
    <row r="8" spans="1:10" x14ac:dyDescent="0.3">
      <c r="A8" t="s">
        <v>7</v>
      </c>
      <c r="B8">
        <v>2017</v>
      </c>
      <c r="C8">
        <v>44.15</v>
      </c>
      <c r="F8">
        <v>19</v>
      </c>
      <c r="J8" t="str">
        <v>Chhattisgarh</v>
      </c>
    </row>
    <row r="9" spans="1:10" x14ac:dyDescent="0.3">
      <c r="A9" t="s">
        <v>7</v>
      </c>
      <c r="B9">
        <v>2020</v>
      </c>
      <c r="C9">
        <v>33.26</v>
      </c>
      <c r="D9">
        <v>44.15</v>
      </c>
      <c r="E9">
        <v>-10.89</v>
      </c>
      <c r="F9">
        <v>22</v>
      </c>
      <c r="J9" t="str">
        <v>Dadra &amp; Nagar Haveli and Daman &amp; Diu</v>
      </c>
    </row>
    <row r="10" spans="1:10" x14ac:dyDescent="0.3">
      <c r="A10" t="s">
        <v>7</v>
      </c>
      <c r="B10">
        <v>2022</v>
      </c>
      <c r="C10">
        <v>28.81</v>
      </c>
      <c r="D10">
        <v>33.26</v>
      </c>
      <c r="E10">
        <v>-4.45</v>
      </c>
      <c r="F10">
        <v>24</v>
      </c>
      <c r="J10" t="str">
        <v>Delhi</v>
      </c>
    </row>
    <row r="11" spans="1:10" x14ac:dyDescent="0.3">
      <c r="A11" t="s">
        <v>7</v>
      </c>
      <c r="B11">
        <v>2023</v>
      </c>
      <c r="C11">
        <v>28.3</v>
      </c>
      <c r="D11">
        <v>28.81</v>
      </c>
      <c r="E11">
        <v>-0.51</v>
      </c>
      <c r="F11">
        <v>25</v>
      </c>
      <c r="J11" t="str">
        <v>Goa</v>
      </c>
    </row>
    <row r="12" spans="1:10" x14ac:dyDescent="0.3">
      <c r="A12" t="s">
        <v>7</v>
      </c>
      <c r="B12">
        <v>2024</v>
      </c>
      <c r="C12">
        <v>29.83</v>
      </c>
      <c r="D12">
        <v>28.3</v>
      </c>
      <c r="E12">
        <v>1.53</v>
      </c>
      <c r="F12">
        <v>25</v>
      </c>
      <c r="J12" t="str">
        <v>Gujarat</v>
      </c>
    </row>
    <row r="13" spans="1:10" x14ac:dyDescent="0.3">
      <c r="A13" t="s">
        <v>7</v>
      </c>
      <c r="B13">
        <v>2025</v>
      </c>
      <c r="C13">
        <v>31.51</v>
      </c>
      <c r="D13">
        <v>29.83</v>
      </c>
      <c r="E13">
        <v>1.68</v>
      </c>
      <c r="F13">
        <v>24</v>
      </c>
      <c r="J13" t="str">
        <v>Haryana</v>
      </c>
    </row>
    <row r="14" spans="1:10" x14ac:dyDescent="0.3">
      <c r="A14" t="s">
        <v>8</v>
      </c>
      <c r="B14">
        <v>2017</v>
      </c>
      <c r="C14">
        <v>0.28000000000000003</v>
      </c>
      <c r="F14">
        <v>32</v>
      </c>
      <c r="J14" t="str">
        <v>Himachal Pradesh</v>
      </c>
    </row>
    <row r="15" spans="1:10" x14ac:dyDescent="0.3">
      <c r="A15" t="s">
        <v>8</v>
      </c>
      <c r="B15">
        <v>2020</v>
      </c>
      <c r="C15">
        <v>0.36</v>
      </c>
      <c r="D15">
        <v>0.28000000000000003</v>
      </c>
      <c r="E15">
        <v>0.08</v>
      </c>
      <c r="F15">
        <v>35</v>
      </c>
      <c r="J15" t="str">
        <v>Jammu &amp; Kashmir</v>
      </c>
    </row>
    <row r="16" spans="1:10" x14ac:dyDescent="0.3">
      <c r="A16" t="s">
        <v>8</v>
      </c>
      <c r="B16">
        <v>2022</v>
      </c>
      <c r="C16">
        <v>0.79</v>
      </c>
      <c r="D16">
        <v>0.36</v>
      </c>
      <c r="E16">
        <v>0.43</v>
      </c>
      <c r="F16">
        <v>35</v>
      </c>
      <c r="J16" t="str">
        <v>Jharkhand</v>
      </c>
    </row>
    <row r="17" spans="1:10" x14ac:dyDescent="0.3">
      <c r="A17" t="s">
        <v>8</v>
      </c>
      <c r="B17">
        <v>2023</v>
      </c>
      <c r="C17">
        <v>0.42</v>
      </c>
      <c r="D17">
        <v>0.79</v>
      </c>
      <c r="E17">
        <v>-0.37</v>
      </c>
      <c r="F17">
        <v>36</v>
      </c>
      <c r="J17" t="str">
        <v>Karnataka</v>
      </c>
    </row>
    <row r="18" spans="1:10" x14ac:dyDescent="0.3">
      <c r="A18" t="s">
        <v>8</v>
      </c>
      <c r="B18">
        <v>2024</v>
      </c>
      <c r="C18">
        <v>0.39</v>
      </c>
      <c r="D18">
        <v>0.42</v>
      </c>
      <c r="E18">
        <v>-0.03</v>
      </c>
      <c r="F18">
        <v>36</v>
      </c>
      <c r="J18" t="str">
        <v>Kerala</v>
      </c>
    </row>
    <row r="19" spans="1:10" x14ac:dyDescent="0.3">
      <c r="A19" t="s">
        <v>8</v>
      </c>
      <c r="B19">
        <v>2025</v>
      </c>
      <c r="C19">
        <v>0.41</v>
      </c>
      <c r="D19">
        <v>0.39</v>
      </c>
      <c r="E19">
        <v>0.02</v>
      </c>
      <c r="F19">
        <v>36</v>
      </c>
      <c r="J19" t="str">
        <v>Ladakh</v>
      </c>
    </row>
    <row r="20" spans="1:10" x14ac:dyDescent="0.3">
      <c r="A20" t="s">
        <v>9</v>
      </c>
      <c r="B20">
        <v>2017</v>
      </c>
      <c r="C20">
        <v>11.25</v>
      </c>
      <c r="F20">
        <v>25</v>
      </c>
      <c r="J20" t="str">
        <v>Lakshadweep</v>
      </c>
    </row>
    <row r="21" spans="1:10" x14ac:dyDescent="0.3">
      <c r="A21" t="s">
        <v>9</v>
      </c>
      <c r="B21">
        <v>2020</v>
      </c>
      <c r="C21">
        <v>11.73</v>
      </c>
      <c r="D21">
        <v>11.25</v>
      </c>
      <c r="E21">
        <v>0.48</v>
      </c>
      <c r="F21">
        <v>27</v>
      </c>
      <c r="J21" t="str">
        <v>Madhya Pradesh</v>
      </c>
    </row>
    <row r="22" spans="1:10" x14ac:dyDescent="0.3">
      <c r="A22" t="s">
        <v>9</v>
      </c>
      <c r="B22">
        <v>2022</v>
      </c>
      <c r="C22">
        <v>12.38</v>
      </c>
      <c r="D22">
        <v>11.73</v>
      </c>
      <c r="E22">
        <v>0.65</v>
      </c>
      <c r="F22">
        <v>27</v>
      </c>
      <c r="J22" t="str">
        <v>Maharashtra</v>
      </c>
    </row>
    <row r="23" spans="1:10" x14ac:dyDescent="0.3">
      <c r="A23" t="s">
        <v>9</v>
      </c>
      <c r="B23">
        <v>2023</v>
      </c>
      <c r="C23">
        <v>12.54</v>
      </c>
      <c r="D23">
        <v>12.38</v>
      </c>
      <c r="E23">
        <v>0.16</v>
      </c>
      <c r="F23">
        <v>28</v>
      </c>
      <c r="J23" t="str">
        <v>Manipur</v>
      </c>
    </row>
    <row r="24" spans="1:10" x14ac:dyDescent="0.3">
      <c r="A24" t="s">
        <v>9</v>
      </c>
      <c r="B24">
        <v>2024</v>
      </c>
      <c r="C24">
        <v>12.61</v>
      </c>
      <c r="D24">
        <v>12.54</v>
      </c>
      <c r="E24">
        <v>7.0000000000000007E-2</v>
      </c>
      <c r="F24">
        <v>28</v>
      </c>
      <c r="J24" t="str">
        <v>Meghalaya</v>
      </c>
    </row>
    <row r="25" spans="1:10" x14ac:dyDescent="0.3">
      <c r="A25" t="s">
        <v>9</v>
      </c>
      <c r="B25">
        <v>2025</v>
      </c>
      <c r="C25">
        <v>14.45</v>
      </c>
      <c r="D25">
        <v>12.61</v>
      </c>
      <c r="E25">
        <v>1.84</v>
      </c>
      <c r="F25">
        <v>28</v>
      </c>
      <c r="J25" t="str">
        <v>Mizoram</v>
      </c>
    </row>
    <row r="26" spans="1:10" x14ac:dyDescent="0.3">
      <c r="A26" t="s">
        <v>10</v>
      </c>
      <c r="B26">
        <v>2017</v>
      </c>
      <c r="C26">
        <v>45.76</v>
      </c>
      <c r="F26">
        <v>16</v>
      </c>
      <c r="J26" t="str">
        <v>Nagaland</v>
      </c>
    </row>
    <row r="27" spans="1:10" x14ac:dyDescent="0.3">
      <c r="A27" t="s">
        <v>10</v>
      </c>
      <c r="B27">
        <v>2020</v>
      </c>
      <c r="C27">
        <v>51.14</v>
      </c>
      <c r="D27">
        <v>45.76</v>
      </c>
      <c r="E27">
        <v>5.38</v>
      </c>
      <c r="F27">
        <v>16</v>
      </c>
      <c r="J27" t="str">
        <v>Odisha</v>
      </c>
    </row>
    <row r="28" spans="1:10" x14ac:dyDescent="0.3">
      <c r="A28" t="s">
        <v>10</v>
      </c>
      <c r="B28">
        <v>2022</v>
      </c>
      <c r="C28">
        <v>44.94</v>
      </c>
      <c r="D28">
        <v>51.14</v>
      </c>
      <c r="E28">
        <v>-6.2</v>
      </c>
      <c r="F28">
        <v>18</v>
      </c>
      <c r="J28" t="str">
        <v>Puducherry</v>
      </c>
    </row>
    <row r="29" spans="1:10" x14ac:dyDescent="0.3">
      <c r="A29" t="s">
        <v>10</v>
      </c>
      <c r="B29">
        <v>2023</v>
      </c>
      <c r="C29">
        <v>44.76</v>
      </c>
      <c r="D29">
        <v>44.94</v>
      </c>
      <c r="E29">
        <v>-0.18</v>
      </c>
      <c r="F29">
        <v>20</v>
      </c>
      <c r="J29" t="str">
        <v>Punjab</v>
      </c>
    </row>
    <row r="30" spans="1:10" x14ac:dyDescent="0.3">
      <c r="A30" t="s">
        <v>10</v>
      </c>
      <c r="B30">
        <v>2024</v>
      </c>
      <c r="C30">
        <v>45.54</v>
      </c>
      <c r="D30">
        <v>44.76</v>
      </c>
      <c r="E30">
        <v>0.78</v>
      </c>
      <c r="F30">
        <v>21</v>
      </c>
      <c r="J30" t="str">
        <v>Rajasthan</v>
      </c>
    </row>
    <row r="31" spans="1:10" x14ac:dyDescent="0.3">
      <c r="A31" t="s">
        <v>10</v>
      </c>
      <c r="B31">
        <v>2025</v>
      </c>
      <c r="C31">
        <v>46.2</v>
      </c>
      <c r="D31">
        <v>45.54</v>
      </c>
      <c r="E31">
        <v>0.66</v>
      </c>
      <c r="F31">
        <v>19</v>
      </c>
      <c r="J31" t="str">
        <v>Sikkim</v>
      </c>
    </row>
    <row r="32" spans="1:10" x14ac:dyDescent="0.3">
      <c r="A32" t="s">
        <v>11</v>
      </c>
      <c r="B32">
        <v>2017</v>
      </c>
      <c r="C32">
        <v>89</v>
      </c>
      <c r="F32">
        <v>5</v>
      </c>
      <c r="J32" t="str">
        <v>Tamil Nadu</v>
      </c>
    </row>
    <row r="33" spans="1:10" x14ac:dyDescent="0.3">
      <c r="A33" t="s">
        <v>11</v>
      </c>
      <c r="B33">
        <v>2020</v>
      </c>
      <c r="C33">
        <v>80.599999999999994</v>
      </c>
      <c r="D33">
        <v>89</v>
      </c>
      <c r="E33">
        <v>-8.4</v>
      </c>
      <c r="F33">
        <v>6</v>
      </c>
      <c r="J33" t="str">
        <v>Telangana</v>
      </c>
    </row>
    <row r="34" spans="1:10" x14ac:dyDescent="0.3">
      <c r="A34" t="s">
        <v>11</v>
      </c>
      <c r="B34">
        <v>2022</v>
      </c>
      <c r="C34">
        <v>80.989999999999995</v>
      </c>
      <c r="D34">
        <v>80.599999999999994</v>
      </c>
      <c r="E34">
        <v>0.39</v>
      </c>
      <c r="F34">
        <v>6</v>
      </c>
      <c r="J34" t="str">
        <v>Tripura</v>
      </c>
    </row>
    <row r="35" spans="1:10" x14ac:dyDescent="0.3">
      <c r="A35" t="s">
        <v>11</v>
      </c>
      <c r="B35">
        <v>2023</v>
      </c>
      <c r="C35">
        <v>75.41</v>
      </c>
      <c r="D35">
        <v>80.989999999999995</v>
      </c>
      <c r="E35">
        <v>-5.58</v>
      </c>
      <c r="F35">
        <v>6</v>
      </c>
      <c r="J35" t="str">
        <v>Uttar Pradesh</v>
      </c>
    </row>
    <row r="36" spans="1:10" x14ac:dyDescent="0.3">
      <c r="A36" t="s">
        <v>11</v>
      </c>
      <c r="B36">
        <v>2024</v>
      </c>
      <c r="C36">
        <v>66.13</v>
      </c>
      <c r="D36">
        <v>75.41</v>
      </c>
      <c r="E36">
        <v>-9.2799999999999994</v>
      </c>
      <c r="F36">
        <v>10</v>
      </c>
      <c r="J36" t="str">
        <v>Uttarakhand</v>
      </c>
    </row>
    <row r="37" spans="1:10" x14ac:dyDescent="0.3">
      <c r="A37" t="s">
        <v>11</v>
      </c>
      <c r="B37">
        <v>2025</v>
      </c>
      <c r="C37">
        <v>67</v>
      </c>
      <c r="D37">
        <v>66.13</v>
      </c>
      <c r="E37">
        <v>0.87</v>
      </c>
      <c r="F37">
        <v>8</v>
      </c>
      <c r="J37" t="str">
        <v>West Bengal</v>
      </c>
    </row>
    <row r="38" spans="1:10" x14ac:dyDescent="0.3">
      <c r="A38" t="s">
        <v>12</v>
      </c>
      <c r="B38">
        <v>2017</v>
      </c>
      <c r="C38">
        <v>44.43</v>
      </c>
      <c r="F38">
        <v>18</v>
      </c>
    </row>
    <row r="39" spans="1:10" x14ac:dyDescent="0.3">
      <c r="A39" t="s">
        <v>12</v>
      </c>
      <c r="B39">
        <v>2020</v>
      </c>
      <c r="C39">
        <v>46.34</v>
      </c>
      <c r="D39">
        <v>44.43</v>
      </c>
      <c r="E39">
        <v>1.91</v>
      </c>
      <c r="F39">
        <v>18</v>
      </c>
    </row>
    <row r="40" spans="1:10" x14ac:dyDescent="0.3">
      <c r="A40" t="s">
        <v>12</v>
      </c>
      <c r="B40">
        <v>2022</v>
      </c>
      <c r="C40">
        <v>49.58</v>
      </c>
      <c r="D40">
        <v>46.34</v>
      </c>
      <c r="E40">
        <v>3.24</v>
      </c>
      <c r="F40">
        <v>15</v>
      </c>
    </row>
    <row r="41" spans="1:10" x14ac:dyDescent="0.3">
      <c r="A41" t="s">
        <v>12</v>
      </c>
      <c r="B41">
        <v>2023</v>
      </c>
      <c r="C41">
        <v>47.17</v>
      </c>
      <c r="D41">
        <v>49.58</v>
      </c>
      <c r="E41">
        <v>-2.41</v>
      </c>
      <c r="F41">
        <v>17</v>
      </c>
    </row>
    <row r="42" spans="1:10" x14ac:dyDescent="0.3">
      <c r="A42" t="s">
        <v>12</v>
      </c>
      <c r="B42">
        <v>2024</v>
      </c>
      <c r="C42">
        <v>47.32</v>
      </c>
      <c r="D42">
        <v>47.17</v>
      </c>
      <c r="E42">
        <v>0.15</v>
      </c>
      <c r="F42">
        <v>18</v>
      </c>
    </row>
    <row r="43" spans="1:10" x14ac:dyDescent="0.3">
      <c r="A43" t="s">
        <v>12</v>
      </c>
      <c r="B43">
        <v>2025</v>
      </c>
      <c r="C43">
        <v>48.18</v>
      </c>
      <c r="D43">
        <v>47.32</v>
      </c>
      <c r="E43">
        <v>0.86</v>
      </c>
      <c r="F43">
        <v>17</v>
      </c>
    </row>
    <row r="44" spans="1:10" x14ac:dyDescent="0.3">
      <c r="A44" t="s">
        <v>13</v>
      </c>
      <c r="B44">
        <v>2017</v>
      </c>
      <c r="C44">
        <v>28.57</v>
      </c>
      <c r="F44">
        <v>23</v>
      </c>
    </row>
    <row r="45" spans="1:10" x14ac:dyDescent="0.3">
      <c r="A45" t="s">
        <v>13</v>
      </c>
      <c r="B45">
        <v>2020</v>
      </c>
      <c r="C45">
        <v>60</v>
      </c>
      <c r="D45">
        <v>28.57</v>
      </c>
      <c r="E45">
        <v>31.43</v>
      </c>
      <c r="F45">
        <v>9</v>
      </c>
    </row>
    <row r="46" spans="1:10" x14ac:dyDescent="0.3">
      <c r="A46" t="s">
        <v>13</v>
      </c>
      <c r="B46">
        <v>2022</v>
      </c>
      <c r="C46">
        <v>143.97</v>
      </c>
      <c r="D46">
        <v>60</v>
      </c>
      <c r="E46">
        <v>83.97</v>
      </c>
      <c r="F46">
        <v>3</v>
      </c>
    </row>
    <row r="47" spans="1:10" x14ac:dyDescent="0.3">
      <c r="A47" t="s">
        <v>13</v>
      </c>
      <c r="B47">
        <v>2023</v>
      </c>
      <c r="C47">
        <v>133.33000000000001</v>
      </c>
      <c r="D47">
        <v>143.97</v>
      </c>
      <c r="E47">
        <v>-10.64</v>
      </c>
      <c r="F47">
        <v>4</v>
      </c>
    </row>
    <row r="48" spans="1:10" x14ac:dyDescent="0.3">
      <c r="A48" t="s">
        <v>13</v>
      </c>
      <c r="B48">
        <v>2024</v>
      </c>
      <c r="C48">
        <v>133.33000000000001</v>
      </c>
      <c r="D48">
        <v>133.33000000000001</v>
      </c>
      <c r="E48">
        <v>0</v>
      </c>
      <c r="F48">
        <v>4</v>
      </c>
    </row>
    <row r="49" spans="1:6" x14ac:dyDescent="0.3">
      <c r="A49" t="s">
        <v>13</v>
      </c>
      <c r="B49">
        <v>2025</v>
      </c>
      <c r="C49">
        <v>41.67</v>
      </c>
      <c r="D49">
        <v>133.33000000000001</v>
      </c>
      <c r="E49">
        <v>-91.66</v>
      </c>
      <c r="F49">
        <v>21</v>
      </c>
    </row>
    <row r="50" spans="1:6" x14ac:dyDescent="0.3">
      <c r="A50" t="s">
        <v>14</v>
      </c>
      <c r="B50">
        <v>2017</v>
      </c>
      <c r="C50">
        <v>119.61</v>
      </c>
      <c r="F50">
        <v>4</v>
      </c>
    </row>
    <row r="51" spans="1:6" x14ac:dyDescent="0.3">
      <c r="A51" t="s">
        <v>14</v>
      </c>
      <c r="B51">
        <v>2020</v>
      </c>
      <c r="C51">
        <v>101.4</v>
      </c>
      <c r="D51">
        <v>119.61</v>
      </c>
      <c r="E51">
        <v>-18.21</v>
      </c>
      <c r="F51">
        <v>4</v>
      </c>
    </row>
    <row r="52" spans="1:6" x14ac:dyDescent="0.3">
      <c r="A52" t="s">
        <v>14</v>
      </c>
      <c r="B52">
        <v>2022</v>
      </c>
      <c r="C52">
        <v>98.16</v>
      </c>
      <c r="D52">
        <v>101.4</v>
      </c>
      <c r="E52">
        <v>-3.24</v>
      </c>
      <c r="F52">
        <v>5</v>
      </c>
    </row>
    <row r="53" spans="1:6" x14ac:dyDescent="0.3">
      <c r="A53" t="s">
        <v>14</v>
      </c>
      <c r="B53">
        <v>2023</v>
      </c>
      <c r="C53">
        <v>99.13</v>
      </c>
      <c r="D53">
        <v>98.16</v>
      </c>
      <c r="E53">
        <v>0.97</v>
      </c>
      <c r="F53">
        <v>5</v>
      </c>
    </row>
    <row r="54" spans="1:6" x14ac:dyDescent="0.3">
      <c r="A54" t="s">
        <v>14</v>
      </c>
      <c r="B54">
        <v>2024</v>
      </c>
      <c r="C54">
        <v>100.77</v>
      </c>
      <c r="D54">
        <v>99.13</v>
      </c>
      <c r="E54">
        <v>1.64</v>
      </c>
      <c r="F54">
        <v>5</v>
      </c>
    </row>
    <row r="55" spans="1:6" x14ac:dyDescent="0.3">
      <c r="A55" t="s">
        <v>14</v>
      </c>
      <c r="B55">
        <v>2025</v>
      </c>
      <c r="C55">
        <v>92.1</v>
      </c>
      <c r="D55">
        <v>100.77</v>
      </c>
      <c r="E55">
        <v>-8.67</v>
      </c>
      <c r="F55">
        <v>4</v>
      </c>
    </row>
    <row r="56" spans="1:6" x14ac:dyDescent="0.3">
      <c r="A56" t="s">
        <v>15</v>
      </c>
      <c r="B56">
        <v>2017</v>
      </c>
      <c r="C56">
        <v>33.5</v>
      </c>
      <c r="F56">
        <v>21</v>
      </c>
    </row>
    <row r="57" spans="1:6" x14ac:dyDescent="0.3">
      <c r="A57" t="s">
        <v>15</v>
      </c>
      <c r="B57">
        <v>2020</v>
      </c>
      <c r="C57">
        <v>23.48</v>
      </c>
      <c r="D57">
        <v>33.5</v>
      </c>
      <c r="E57">
        <v>-10.02</v>
      </c>
      <c r="F57">
        <v>24</v>
      </c>
    </row>
    <row r="58" spans="1:6" x14ac:dyDescent="0.3">
      <c r="A58" t="s">
        <v>15</v>
      </c>
      <c r="B58">
        <v>2022</v>
      </c>
      <c r="C58">
        <v>23.63</v>
      </c>
      <c r="D58">
        <v>23.48</v>
      </c>
      <c r="E58">
        <v>0.15</v>
      </c>
      <c r="F58">
        <v>26</v>
      </c>
    </row>
    <row r="59" spans="1:6" x14ac:dyDescent="0.3">
      <c r="A59" t="s">
        <v>15</v>
      </c>
      <c r="B59">
        <v>2023</v>
      </c>
      <c r="C59">
        <v>21.37</v>
      </c>
      <c r="D59">
        <v>23.63</v>
      </c>
      <c r="E59">
        <v>-2.2599999999999998</v>
      </c>
      <c r="F59">
        <v>27</v>
      </c>
    </row>
    <row r="60" spans="1:6" x14ac:dyDescent="0.3">
      <c r="A60" t="s">
        <v>15</v>
      </c>
      <c r="B60">
        <v>2024</v>
      </c>
      <c r="C60">
        <v>22.91</v>
      </c>
      <c r="D60">
        <v>21.37</v>
      </c>
      <c r="E60">
        <v>1.54</v>
      </c>
      <c r="F60">
        <v>26</v>
      </c>
    </row>
    <row r="61" spans="1:6" x14ac:dyDescent="0.3">
      <c r="A61" t="s">
        <v>15</v>
      </c>
      <c r="B61">
        <v>2025</v>
      </c>
      <c r="C61">
        <v>23.3</v>
      </c>
      <c r="D61">
        <v>22.91</v>
      </c>
      <c r="E61">
        <v>0.39</v>
      </c>
      <c r="F61">
        <v>27</v>
      </c>
    </row>
    <row r="62" spans="1:6" x14ac:dyDescent="0.3">
      <c r="A62" t="s">
        <v>16</v>
      </c>
      <c r="B62">
        <v>2017</v>
      </c>
      <c r="C62">
        <v>63.89</v>
      </c>
      <c r="F62">
        <v>11</v>
      </c>
    </row>
    <row r="63" spans="1:6" x14ac:dyDescent="0.3">
      <c r="A63" t="s">
        <v>16</v>
      </c>
      <c r="B63">
        <v>2020</v>
      </c>
      <c r="C63">
        <v>53.39</v>
      </c>
      <c r="D63">
        <v>63.89</v>
      </c>
      <c r="E63">
        <v>-10.5</v>
      </c>
      <c r="F63">
        <v>13</v>
      </c>
    </row>
    <row r="64" spans="1:6" x14ac:dyDescent="0.3">
      <c r="A64" t="s">
        <v>16</v>
      </c>
      <c r="B64">
        <v>2022</v>
      </c>
      <c r="C64">
        <v>53.23</v>
      </c>
      <c r="D64">
        <v>53.39</v>
      </c>
      <c r="E64">
        <v>-0.16</v>
      </c>
      <c r="F64">
        <v>13</v>
      </c>
    </row>
    <row r="65" spans="1:6" x14ac:dyDescent="0.3">
      <c r="A65" t="s">
        <v>16</v>
      </c>
      <c r="B65">
        <v>2023</v>
      </c>
      <c r="C65">
        <v>51.68</v>
      </c>
      <c r="D65">
        <v>53.23</v>
      </c>
      <c r="E65">
        <v>-1.55</v>
      </c>
      <c r="F65">
        <v>16</v>
      </c>
    </row>
    <row r="66" spans="1:6" x14ac:dyDescent="0.3">
      <c r="A66" t="s">
        <v>16</v>
      </c>
      <c r="B66">
        <v>2024</v>
      </c>
      <c r="C66">
        <v>54.21</v>
      </c>
      <c r="D66">
        <v>51.68</v>
      </c>
      <c r="E66">
        <v>2.5299999999999998</v>
      </c>
      <c r="F66">
        <v>13</v>
      </c>
    </row>
    <row r="67" spans="1:6" x14ac:dyDescent="0.3">
      <c r="A67" t="s">
        <v>16</v>
      </c>
      <c r="B67">
        <v>2025</v>
      </c>
      <c r="C67">
        <v>55.95</v>
      </c>
      <c r="D67">
        <v>54.21</v>
      </c>
      <c r="E67">
        <v>1.74</v>
      </c>
      <c r="F67">
        <v>12</v>
      </c>
    </row>
    <row r="68" spans="1:6" x14ac:dyDescent="0.3">
      <c r="A68" t="s">
        <v>17</v>
      </c>
      <c r="B68">
        <v>2017</v>
      </c>
      <c r="C68">
        <v>136.91</v>
      </c>
      <c r="F68">
        <v>3</v>
      </c>
    </row>
    <row r="69" spans="1:6" x14ac:dyDescent="0.3">
      <c r="A69" t="s">
        <v>17</v>
      </c>
      <c r="B69">
        <v>2020</v>
      </c>
      <c r="C69">
        <v>134.56</v>
      </c>
      <c r="D69">
        <v>136.91</v>
      </c>
      <c r="E69">
        <v>-2.35</v>
      </c>
      <c r="F69">
        <v>3</v>
      </c>
    </row>
    <row r="70" spans="1:6" x14ac:dyDescent="0.3">
      <c r="A70" t="s">
        <v>17</v>
      </c>
      <c r="B70">
        <v>2022</v>
      </c>
      <c r="C70">
        <v>134.13999999999999</v>
      </c>
      <c r="D70">
        <v>134.56</v>
      </c>
      <c r="E70">
        <v>-0.42</v>
      </c>
      <c r="F70">
        <v>4</v>
      </c>
    </row>
    <row r="71" spans="1:6" x14ac:dyDescent="0.3">
      <c r="A71" t="s">
        <v>17</v>
      </c>
      <c r="B71">
        <v>2023</v>
      </c>
      <c r="C71">
        <v>135.74</v>
      </c>
      <c r="D71">
        <v>134.13999999999999</v>
      </c>
      <c r="E71">
        <v>1.6</v>
      </c>
      <c r="F71">
        <v>3</v>
      </c>
    </row>
    <row r="72" spans="1:6" x14ac:dyDescent="0.3">
      <c r="A72" t="s">
        <v>17</v>
      </c>
      <c r="B72">
        <v>2024</v>
      </c>
      <c r="C72">
        <v>135.96</v>
      </c>
      <c r="D72">
        <v>135.74</v>
      </c>
      <c r="E72">
        <v>0.22</v>
      </c>
      <c r="F72">
        <v>3</v>
      </c>
    </row>
    <row r="73" spans="1:6" x14ac:dyDescent="0.3">
      <c r="A73" t="s">
        <v>17</v>
      </c>
      <c r="B73">
        <v>2025</v>
      </c>
      <c r="C73">
        <v>136.75</v>
      </c>
      <c r="D73">
        <v>135.96</v>
      </c>
      <c r="E73">
        <v>0.79</v>
      </c>
      <c r="F73">
        <v>3</v>
      </c>
    </row>
    <row r="74" spans="1:6" x14ac:dyDescent="0.3">
      <c r="A74" t="s">
        <v>18</v>
      </c>
      <c r="B74">
        <v>2017</v>
      </c>
      <c r="C74">
        <v>86.37</v>
      </c>
      <c r="F74">
        <v>6</v>
      </c>
    </row>
    <row r="75" spans="1:6" x14ac:dyDescent="0.3">
      <c r="A75" t="s">
        <v>18</v>
      </c>
      <c r="B75">
        <v>2020</v>
      </c>
      <c r="C75">
        <v>36.83</v>
      </c>
      <c r="D75">
        <v>86.37</v>
      </c>
      <c r="E75">
        <v>-49.54</v>
      </c>
      <c r="F75">
        <v>21</v>
      </c>
    </row>
    <row r="76" spans="1:6" x14ac:dyDescent="0.3">
      <c r="A76" t="s">
        <v>18</v>
      </c>
      <c r="B76">
        <v>2022</v>
      </c>
      <c r="C76">
        <v>37.56</v>
      </c>
      <c r="D76">
        <v>36.83</v>
      </c>
      <c r="E76">
        <v>0.73</v>
      </c>
      <c r="F76">
        <v>22</v>
      </c>
    </row>
    <row r="77" spans="1:6" x14ac:dyDescent="0.3">
      <c r="A77" t="s">
        <v>18</v>
      </c>
      <c r="B77">
        <v>2023</v>
      </c>
      <c r="C77">
        <v>34.950000000000003</v>
      </c>
      <c r="D77">
        <v>37.56</v>
      </c>
      <c r="E77">
        <v>-2.61</v>
      </c>
      <c r="F77">
        <v>23</v>
      </c>
    </row>
    <row r="78" spans="1:6" x14ac:dyDescent="0.3">
      <c r="A78" t="s">
        <v>18</v>
      </c>
      <c r="B78">
        <v>2024</v>
      </c>
      <c r="C78">
        <v>35.479999999999997</v>
      </c>
      <c r="D78">
        <v>34.950000000000003</v>
      </c>
      <c r="E78">
        <v>0.53</v>
      </c>
      <c r="F78">
        <v>22</v>
      </c>
    </row>
    <row r="79" spans="1:6" x14ac:dyDescent="0.3">
      <c r="A79" t="s">
        <v>18</v>
      </c>
      <c r="B79">
        <v>2025</v>
      </c>
      <c r="C79">
        <v>38.5</v>
      </c>
      <c r="D79">
        <v>35.479999999999997</v>
      </c>
      <c r="E79">
        <v>3.02</v>
      </c>
      <c r="F79">
        <v>22</v>
      </c>
    </row>
    <row r="80" spans="1:6" x14ac:dyDescent="0.3">
      <c r="A80" t="s">
        <v>19</v>
      </c>
      <c r="B80">
        <v>2017</v>
      </c>
      <c r="C80">
        <v>29.47</v>
      </c>
      <c r="F80">
        <v>22</v>
      </c>
    </row>
    <row r="81" spans="1:6" x14ac:dyDescent="0.3">
      <c r="A81" t="s">
        <v>19</v>
      </c>
      <c r="B81">
        <v>2020</v>
      </c>
      <c r="C81">
        <v>21.03</v>
      </c>
      <c r="D81">
        <v>29.47</v>
      </c>
      <c r="E81">
        <v>-8.44</v>
      </c>
      <c r="F81">
        <v>25</v>
      </c>
    </row>
    <row r="82" spans="1:6" x14ac:dyDescent="0.3">
      <c r="A82" t="s">
        <v>19</v>
      </c>
      <c r="B82">
        <v>2022</v>
      </c>
      <c r="C82">
        <v>24.18</v>
      </c>
      <c r="D82">
        <v>21.03</v>
      </c>
      <c r="E82">
        <v>3.15</v>
      </c>
      <c r="F82">
        <v>25</v>
      </c>
    </row>
    <row r="83" spans="1:6" x14ac:dyDescent="0.3">
      <c r="A83" t="s">
        <v>19</v>
      </c>
      <c r="B83">
        <v>2023</v>
      </c>
      <c r="C83">
        <v>24.2</v>
      </c>
      <c r="D83">
        <v>24.18</v>
      </c>
      <c r="E83">
        <v>0.02</v>
      </c>
      <c r="F83">
        <v>26</v>
      </c>
    </row>
    <row r="84" spans="1:6" x14ac:dyDescent="0.3">
      <c r="A84" t="s">
        <v>19</v>
      </c>
      <c r="B84">
        <v>2024</v>
      </c>
      <c r="C84">
        <v>22.28</v>
      </c>
      <c r="D84">
        <v>24.2</v>
      </c>
      <c r="E84">
        <v>-1.92</v>
      </c>
      <c r="F84">
        <v>27</v>
      </c>
    </row>
    <row r="85" spans="1:6" x14ac:dyDescent="0.3">
      <c r="A85" t="s">
        <v>19</v>
      </c>
      <c r="B85">
        <v>2025</v>
      </c>
      <c r="C85">
        <v>24.73</v>
      </c>
      <c r="D85">
        <v>22.28</v>
      </c>
      <c r="E85">
        <v>2.4500000000000002</v>
      </c>
      <c r="F85">
        <v>26</v>
      </c>
    </row>
    <row r="86" spans="1:6" x14ac:dyDescent="0.3">
      <c r="A86" t="s">
        <v>20</v>
      </c>
      <c r="B86">
        <v>2017</v>
      </c>
      <c r="C86">
        <v>27.73</v>
      </c>
      <c r="F86">
        <v>24</v>
      </c>
    </row>
    <row r="87" spans="1:6" x14ac:dyDescent="0.3">
      <c r="A87" t="s">
        <v>20</v>
      </c>
      <c r="B87">
        <v>2020</v>
      </c>
      <c r="C87">
        <v>29.13</v>
      </c>
      <c r="D87">
        <v>27.73</v>
      </c>
      <c r="E87">
        <v>1.4</v>
      </c>
      <c r="F87">
        <v>23</v>
      </c>
    </row>
    <row r="88" spans="1:6" x14ac:dyDescent="0.3">
      <c r="A88" t="s">
        <v>20</v>
      </c>
      <c r="B88">
        <v>2022</v>
      </c>
      <c r="C88">
        <v>31.35</v>
      </c>
      <c r="D88">
        <v>29.13</v>
      </c>
      <c r="E88">
        <v>2.2200000000000002</v>
      </c>
      <c r="F88">
        <v>23</v>
      </c>
    </row>
    <row r="89" spans="1:6" x14ac:dyDescent="0.3">
      <c r="A89" t="s">
        <v>20</v>
      </c>
      <c r="B89">
        <v>2023</v>
      </c>
      <c r="C89">
        <v>31.38</v>
      </c>
      <c r="D89">
        <v>31.35</v>
      </c>
      <c r="E89">
        <v>0.03</v>
      </c>
      <c r="F89">
        <v>24</v>
      </c>
    </row>
    <row r="90" spans="1:6" x14ac:dyDescent="0.3">
      <c r="A90" t="s">
        <v>20</v>
      </c>
      <c r="B90">
        <v>2024</v>
      </c>
      <c r="C90">
        <v>31.43</v>
      </c>
      <c r="D90">
        <v>31.38</v>
      </c>
      <c r="E90">
        <v>0.05</v>
      </c>
      <c r="F90">
        <v>23</v>
      </c>
    </row>
    <row r="91" spans="1:6" x14ac:dyDescent="0.3">
      <c r="A91" t="s">
        <v>20</v>
      </c>
      <c r="B91">
        <v>2025</v>
      </c>
      <c r="C91">
        <v>32.89</v>
      </c>
      <c r="D91">
        <v>31.43</v>
      </c>
      <c r="E91">
        <v>1.46</v>
      </c>
      <c r="F91">
        <v>23</v>
      </c>
    </row>
    <row r="92" spans="1:6" x14ac:dyDescent="0.3">
      <c r="A92" t="s">
        <v>21</v>
      </c>
      <c r="B92">
        <v>2017</v>
      </c>
      <c r="C92">
        <v>69.87</v>
      </c>
      <c r="F92">
        <v>9</v>
      </c>
    </row>
    <row r="93" spans="1:6" x14ac:dyDescent="0.3">
      <c r="A93" t="s">
        <v>21</v>
      </c>
      <c r="B93">
        <v>2020</v>
      </c>
      <c r="C93">
        <v>64.849999999999994</v>
      </c>
      <c r="D93">
        <v>69.87</v>
      </c>
      <c r="E93">
        <v>-5.0199999999999996</v>
      </c>
      <c r="F93">
        <v>8</v>
      </c>
    </row>
    <row r="94" spans="1:6" x14ac:dyDescent="0.3">
      <c r="A94" t="s">
        <v>21</v>
      </c>
      <c r="B94">
        <v>2022</v>
      </c>
      <c r="C94">
        <v>69.930000000000007</v>
      </c>
      <c r="D94">
        <v>64.849999999999994</v>
      </c>
      <c r="E94">
        <v>5.08</v>
      </c>
      <c r="F94">
        <v>9</v>
      </c>
    </row>
    <row r="95" spans="1:6" x14ac:dyDescent="0.3">
      <c r="A95" t="s">
        <v>21</v>
      </c>
      <c r="B95">
        <v>2023</v>
      </c>
      <c r="C95">
        <v>66.260000000000005</v>
      </c>
      <c r="D95">
        <v>69.930000000000007</v>
      </c>
      <c r="E95">
        <v>-3.67</v>
      </c>
      <c r="F95">
        <v>10</v>
      </c>
    </row>
    <row r="96" spans="1:6" x14ac:dyDescent="0.3">
      <c r="A96" t="s">
        <v>21</v>
      </c>
      <c r="B96">
        <v>2024</v>
      </c>
      <c r="C96">
        <v>68.44</v>
      </c>
      <c r="D96">
        <v>66.260000000000005</v>
      </c>
      <c r="E96">
        <v>2.1800000000000002</v>
      </c>
      <c r="F96">
        <v>9</v>
      </c>
    </row>
    <row r="97" spans="1:6" x14ac:dyDescent="0.3">
      <c r="A97" t="s">
        <v>21</v>
      </c>
      <c r="B97">
        <v>2025</v>
      </c>
      <c r="C97">
        <v>66.489999999999995</v>
      </c>
      <c r="D97">
        <v>68.44</v>
      </c>
      <c r="E97">
        <v>-1.95</v>
      </c>
      <c r="F97">
        <v>9</v>
      </c>
    </row>
    <row r="98" spans="1:6" x14ac:dyDescent="0.3">
      <c r="A98" t="s">
        <v>22</v>
      </c>
      <c r="B98">
        <v>2017</v>
      </c>
      <c r="C98">
        <v>51.27</v>
      </c>
      <c r="F98">
        <v>15</v>
      </c>
    </row>
    <row r="99" spans="1:6" x14ac:dyDescent="0.3">
      <c r="A99" t="s">
        <v>22</v>
      </c>
      <c r="B99">
        <v>2020</v>
      </c>
      <c r="C99">
        <v>51.68</v>
      </c>
      <c r="D99">
        <v>51.27</v>
      </c>
      <c r="E99">
        <v>0.41</v>
      </c>
      <c r="F99">
        <v>15</v>
      </c>
    </row>
    <row r="100" spans="1:6" x14ac:dyDescent="0.3">
      <c r="A100" t="s">
        <v>22</v>
      </c>
      <c r="B100">
        <v>2022</v>
      </c>
      <c r="C100">
        <v>52.56</v>
      </c>
      <c r="D100">
        <v>51.68</v>
      </c>
      <c r="E100">
        <v>0.88</v>
      </c>
      <c r="F100">
        <v>14</v>
      </c>
    </row>
    <row r="101" spans="1:6" x14ac:dyDescent="0.3">
      <c r="A101" t="s">
        <v>22</v>
      </c>
      <c r="B101">
        <v>2023</v>
      </c>
      <c r="C101">
        <v>54.55</v>
      </c>
      <c r="D101">
        <v>52.56</v>
      </c>
      <c r="E101">
        <v>1.99</v>
      </c>
      <c r="F101">
        <v>13</v>
      </c>
    </row>
    <row r="102" spans="1:6" x14ac:dyDescent="0.3">
      <c r="A102" t="s">
        <v>22</v>
      </c>
      <c r="B102">
        <v>2024</v>
      </c>
      <c r="C102">
        <v>53.78</v>
      </c>
      <c r="D102">
        <v>54.55</v>
      </c>
      <c r="E102">
        <v>-0.77</v>
      </c>
      <c r="F102">
        <v>14</v>
      </c>
    </row>
    <row r="103" spans="1:6" x14ac:dyDescent="0.3">
      <c r="A103" t="s">
        <v>22</v>
      </c>
      <c r="B103">
        <v>2025</v>
      </c>
      <c r="C103">
        <v>49.95</v>
      </c>
      <c r="D103">
        <v>53.78</v>
      </c>
      <c r="E103">
        <v>-3.83</v>
      </c>
      <c r="F103">
        <v>15</v>
      </c>
    </row>
    <row r="104" spans="1:6" x14ac:dyDescent="0.3">
      <c r="A104" t="s">
        <v>23</v>
      </c>
      <c r="B104">
        <v>2020</v>
      </c>
      <c r="C104">
        <v>17.899999999999999</v>
      </c>
      <c r="F104">
        <v>26</v>
      </c>
    </row>
    <row r="105" spans="1:6" x14ac:dyDescent="0.3">
      <c r="A105" t="s">
        <v>23</v>
      </c>
      <c r="B105">
        <v>2022</v>
      </c>
      <c r="C105">
        <v>41.36</v>
      </c>
      <c r="D105">
        <v>17.899999999999999</v>
      </c>
      <c r="E105">
        <v>23.46</v>
      </c>
      <c r="F105">
        <v>21</v>
      </c>
    </row>
    <row r="106" spans="1:6" x14ac:dyDescent="0.3">
      <c r="A106" t="s">
        <v>23</v>
      </c>
      <c r="B106">
        <v>2023</v>
      </c>
      <c r="C106">
        <v>37.049999999999997</v>
      </c>
      <c r="D106">
        <v>41.36</v>
      </c>
      <c r="E106">
        <v>-4.3099999999999996</v>
      </c>
      <c r="F106">
        <v>22</v>
      </c>
    </row>
    <row r="107" spans="1:6" x14ac:dyDescent="0.3">
      <c r="A107" t="s">
        <v>23</v>
      </c>
      <c r="B107">
        <v>2024</v>
      </c>
      <c r="C107">
        <v>30.93</v>
      </c>
      <c r="D107">
        <v>37.049999999999997</v>
      </c>
      <c r="E107">
        <v>-6.12</v>
      </c>
      <c r="F107">
        <v>24</v>
      </c>
    </row>
    <row r="108" spans="1:6" x14ac:dyDescent="0.3">
      <c r="A108" t="s">
        <v>23</v>
      </c>
      <c r="B108">
        <v>2025</v>
      </c>
      <c r="C108">
        <v>30.93</v>
      </c>
      <c r="D108">
        <v>30.93</v>
      </c>
      <c r="E108">
        <v>0</v>
      </c>
      <c r="F108">
        <v>25</v>
      </c>
    </row>
    <row r="109" spans="1:6" x14ac:dyDescent="0.3">
      <c r="A109" t="s">
        <v>24</v>
      </c>
      <c r="B109">
        <v>2020</v>
      </c>
      <c r="C109">
        <v>58.47</v>
      </c>
      <c r="F109">
        <v>10</v>
      </c>
    </row>
    <row r="110" spans="1:6" x14ac:dyDescent="0.3">
      <c r="A110" t="s">
        <v>24</v>
      </c>
      <c r="B110">
        <v>2022</v>
      </c>
      <c r="C110">
        <v>61.6</v>
      </c>
      <c r="D110">
        <v>58.47</v>
      </c>
      <c r="E110">
        <v>3.13</v>
      </c>
      <c r="F110">
        <v>10</v>
      </c>
    </row>
    <row r="111" spans="1:6" x14ac:dyDescent="0.3">
      <c r="A111" t="s">
        <v>24</v>
      </c>
      <c r="B111">
        <v>2023</v>
      </c>
      <c r="C111">
        <v>61.72</v>
      </c>
      <c r="D111">
        <v>61.6</v>
      </c>
      <c r="E111">
        <v>0.12</v>
      </c>
      <c r="F111">
        <v>11</v>
      </c>
    </row>
    <row r="112" spans="1:6" x14ac:dyDescent="0.3">
      <c r="A112" t="s">
        <v>24</v>
      </c>
      <c r="B112">
        <v>2024</v>
      </c>
      <c r="C112">
        <v>61.32</v>
      </c>
      <c r="D112">
        <v>61.72</v>
      </c>
      <c r="E112">
        <v>-0.4</v>
      </c>
      <c r="F112">
        <v>11</v>
      </c>
    </row>
    <row r="113" spans="1:6" x14ac:dyDescent="0.3">
      <c r="A113" t="s">
        <v>24</v>
      </c>
      <c r="B113">
        <v>2025</v>
      </c>
      <c r="C113">
        <v>57.79</v>
      </c>
      <c r="D113">
        <v>61.32</v>
      </c>
      <c r="E113">
        <v>-3.53</v>
      </c>
      <c r="F113">
        <v>11</v>
      </c>
    </row>
    <row r="114" spans="1:6" x14ac:dyDescent="0.3">
      <c r="A114" t="s">
        <v>25</v>
      </c>
      <c r="B114">
        <v>2017</v>
      </c>
      <c r="C114">
        <v>54.76</v>
      </c>
      <c r="F114">
        <v>13</v>
      </c>
    </row>
    <row r="115" spans="1:6" x14ac:dyDescent="0.3">
      <c r="A115" t="s">
        <v>25</v>
      </c>
      <c r="B115">
        <v>2020</v>
      </c>
      <c r="C115">
        <v>56.82</v>
      </c>
      <c r="D115">
        <v>54.76</v>
      </c>
      <c r="E115">
        <v>2.06</v>
      </c>
      <c r="F115">
        <v>11</v>
      </c>
    </row>
    <row r="116" spans="1:6" x14ac:dyDescent="0.3">
      <c r="A116" t="s">
        <v>25</v>
      </c>
      <c r="B116">
        <v>2022</v>
      </c>
      <c r="C116">
        <v>59.1</v>
      </c>
      <c r="D116">
        <v>56.82</v>
      </c>
      <c r="E116">
        <v>2.2799999999999998</v>
      </c>
      <c r="F116">
        <v>11</v>
      </c>
    </row>
    <row r="117" spans="1:6" x14ac:dyDescent="0.3">
      <c r="A117" t="s">
        <v>25</v>
      </c>
      <c r="B117">
        <v>2023</v>
      </c>
      <c r="C117">
        <v>58.75</v>
      </c>
      <c r="D117">
        <v>59.1</v>
      </c>
      <c r="E117">
        <v>-0.35</v>
      </c>
      <c r="F117">
        <v>12</v>
      </c>
    </row>
    <row r="118" spans="1:6" x14ac:dyDescent="0.3">
      <c r="A118" t="s">
        <v>25</v>
      </c>
      <c r="B118">
        <v>2024</v>
      </c>
      <c r="C118">
        <v>58.4</v>
      </c>
      <c r="D118">
        <v>58.75</v>
      </c>
      <c r="E118">
        <v>-0.35</v>
      </c>
      <c r="F118">
        <v>12</v>
      </c>
    </row>
    <row r="119" spans="1:6" x14ac:dyDescent="0.3">
      <c r="A119" t="s">
        <v>25</v>
      </c>
      <c r="B119">
        <v>2025</v>
      </c>
      <c r="C119">
        <v>59.32</v>
      </c>
      <c r="D119">
        <v>58.4</v>
      </c>
      <c r="E119">
        <v>0.92</v>
      </c>
      <c r="F119">
        <v>10</v>
      </c>
    </row>
    <row r="120" spans="1:6" x14ac:dyDescent="0.3">
      <c r="A120" t="s">
        <v>26</v>
      </c>
      <c r="B120">
        <v>2017</v>
      </c>
      <c r="C120">
        <v>54.62</v>
      </c>
      <c r="F120">
        <v>14</v>
      </c>
    </row>
    <row r="121" spans="1:6" x14ac:dyDescent="0.3">
      <c r="A121" t="s">
        <v>26</v>
      </c>
      <c r="B121">
        <v>2020</v>
      </c>
      <c r="C121">
        <v>54.99</v>
      </c>
      <c r="D121">
        <v>54.62</v>
      </c>
      <c r="E121">
        <v>0.37</v>
      </c>
      <c r="F121">
        <v>12</v>
      </c>
    </row>
    <row r="122" spans="1:6" x14ac:dyDescent="0.3">
      <c r="A122" t="s">
        <v>26</v>
      </c>
      <c r="B122">
        <v>2022</v>
      </c>
      <c r="C122">
        <v>54.68</v>
      </c>
      <c r="D122">
        <v>54.99</v>
      </c>
      <c r="E122">
        <v>-0.31</v>
      </c>
      <c r="F122">
        <v>12</v>
      </c>
    </row>
    <row r="123" spans="1:6" x14ac:dyDescent="0.3">
      <c r="A123" t="s">
        <v>26</v>
      </c>
      <c r="B123">
        <v>2023</v>
      </c>
      <c r="C123">
        <v>53.83</v>
      </c>
      <c r="D123">
        <v>54.68</v>
      </c>
      <c r="E123">
        <v>-0.85</v>
      </c>
      <c r="F123">
        <v>14</v>
      </c>
    </row>
    <row r="124" spans="1:6" x14ac:dyDescent="0.3">
      <c r="A124" t="s">
        <v>26</v>
      </c>
      <c r="B124">
        <v>2024</v>
      </c>
      <c r="C124">
        <v>52.99</v>
      </c>
      <c r="D124">
        <v>53.83</v>
      </c>
      <c r="E124">
        <v>-0.84</v>
      </c>
      <c r="F124">
        <v>16</v>
      </c>
    </row>
    <row r="125" spans="1:6" x14ac:dyDescent="0.3">
      <c r="A125" t="s">
        <v>26</v>
      </c>
      <c r="B125">
        <v>2025</v>
      </c>
      <c r="C125">
        <v>51.79</v>
      </c>
      <c r="D125">
        <v>52.99</v>
      </c>
      <c r="E125">
        <v>-1.2</v>
      </c>
      <c r="F125">
        <v>14</v>
      </c>
    </row>
    <row r="126" spans="1:6" x14ac:dyDescent="0.3">
      <c r="A126" t="s">
        <v>27</v>
      </c>
      <c r="B126">
        <v>2017</v>
      </c>
      <c r="C126">
        <v>1.44</v>
      </c>
      <c r="F126">
        <v>30</v>
      </c>
    </row>
    <row r="127" spans="1:6" x14ac:dyDescent="0.3">
      <c r="A127" t="s">
        <v>27</v>
      </c>
      <c r="B127">
        <v>2020</v>
      </c>
      <c r="C127">
        <v>5.12</v>
      </c>
      <c r="D127">
        <v>1.44</v>
      </c>
      <c r="E127">
        <v>3.68</v>
      </c>
      <c r="F127">
        <v>29</v>
      </c>
    </row>
    <row r="128" spans="1:6" x14ac:dyDescent="0.3">
      <c r="A128" t="s">
        <v>27</v>
      </c>
      <c r="B128">
        <v>2022</v>
      </c>
      <c r="C128">
        <v>7.95</v>
      </c>
      <c r="D128">
        <v>5.12</v>
      </c>
      <c r="E128">
        <v>2.83</v>
      </c>
      <c r="F128">
        <v>29</v>
      </c>
    </row>
    <row r="129" spans="1:6" x14ac:dyDescent="0.3">
      <c r="A129" t="s">
        <v>27</v>
      </c>
      <c r="B129">
        <v>2023</v>
      </c>
      <c r="C129">
        <v>7.99</v>
      </c>
      <c r="D129">
        <v>7.95</v>
      </c>
      <c r="E129">
        <v>0.04</v>
      </c>
      <c r="F129">
        <v>30</v>
      </c>
    </row>
    <row r="130" spans="1:6" x14ac:dyDescent="0.3">
      <c r="A130" t="s">
        <v>27</v>
      </c>
      <c r="B130">
        <v>2024</v>
      </c>
      <c r="C130">
        <v>8</v>
      </c>
      <c r="D130">
        <v>7.99</v>
      </c>
      <c r="E130">
        <v>0.01</v>
      </c>
      <c r="F130">
        <v>30</v>
      </c>
    </row>
    <row r="131" spans="1:6" x14ac:dyDescent="0.3">
      <c r="A131" t="s">
        <v>27</v>
      </c>
      <c r="B131">
        <v>2025</v>
      </c>
      <c r="C131">
        <v>9.09</v>
      </c>
      <c r="D131">
        <v>8</v>
      </c>
      <c r="E131">
        <v>1.0900000000000001</v>
      </c>
      <c r="F131">
        <v>30</v>
      </c>
    </row>
    <row r="132" spans="1:6" x14ac:dyDescent="0.3">
      <c r="A132" t="s">
        <v>28</v>
      </c>
      <c r="B132">
        <v>2017</v>
      </c>
      <c r="C132">
        <v>2.2799999999999998</v>
      </c>
      <c r="F132">
        <v>29</v>
      </c>
    </row>
    <row r="133" spans="1:6" x14ac:dyDescent="0.3">
      <c r="A133" t="s">
        <v>28</v>
      </c>
      <c r="B133">
        <v>2020</v>
      </c>
      <c r="C133">
        <v>4.22</v>
      </c>
      <c r="D133">
        <v>2.2799999999999998</v>
      </c>
      <c r="E133">
        <v>1.94</v>
      </c>
      <c r="F133">
        <v>30</v>
      </c>
    </row>
    <row r="134" spans="1:6" x14ac:dyDescent="0.3">
      <c r="A134" t="s">
        <v>28</v>
      </c>
      <c r="B134">
        <v>2022</v>
      </c>
      <c r="C134">
        <v>3.55</v>
      </c>
      <c r="D134">
        <v>4.22</v>
      </c>
      <c r="E134">
        <v>-0.67</v>
      </c>
      <c r="F134">
        <v>32</v>
      </c>
    </row>
    <row r="135" spans="1:6" x14ac:dyDescent="0.3">
      <c r="A135" t="s">
        <v>28</v>
      </c>
      <c r="B135">
        <v>2023</v>
      </c>
      <c r="C135">
        <v>4.58</v>
      </c>
      <c r="D135">
        <v>3.55</v>
      </c>
      <c r="E135">
        <v>1.03</v>
      </c>
      <c r="F135">
        <v>32</v>
      </c>
    </row>
    <row r="136" spans="1:6" x14ac:dyDescent="0.3">
      <c r="A136" t="s">
        <v>28</v>
      </c>
      <c r="B136">
        <v>2024</v>
      </c>
      <c r="C136">
        <v>4.5999999999999996</v>
      </c>
      <c r="D136">
        <v>4.58</v>
      </c>
      <c r="E136">
        <v>0.02</v>
      </c>
      <c r="F136">
        <v>33</v>
      </c>
    </row>
    <row r="137" spans="1:6" x14ac:dyDescent="0.3">
      <c r="A137" t="s">
        <v>28</v>
      </c>
      <c r="B137">
        <v>2025</v>
      </c>
      <c r="C137">
        <v>5.24</v>
      </c>
      <c r="D137">
        <v>4.5999999999999996</v>
      </c>
      <c r="E137">
        <v>0.64</v>
      </c>
      <c r="F137">
        <v>32</v>
      </c>
    </row>
    <row r="138" spans="1:6" x14ac:dyDescent="0.3">
      <c r="A138" t="s">
        <v>29</v>
      </c>
      <c r="B138">
        <v>2017</v>
      </c>
      <c r="C138">
        <v>3.82</v>
      </c>
      <c r="F138">
        <v>27</v>
      </c>
    </row>
    <row r="139" spans="1:6" x14ac:dyDescent="0.3">
      <c r="A139" t="s">
        <v>29</v>
      </c>
      <c r="B139">
        <v>2020</v>
      </c>
      <c r="C139">
        <v>3.81</v>
      </c>
      <c r="D139">
        <v>3.82</v>
      </c>
      <c r="E139">
        <v>-0.01</v>
      </c>
      <c r="F139">
        <v>31</v>
      </c>
    </row>
    <row r="140" spans="1:6" x14ac:dyDescent="0.3">
      <c r="A140" t="s">
        <v>29</v>
      </c>
      <c r="B140">
        <v>2022</v>
      </c>
      <c r="C140">
        <v>3.96</v>
      </c>
      <c r="D140">
        <v>3.81</v>
      </c>
      <c r="E140">
        <v>0.15</v>
      </c>
      <c r="F140">
        <v>31</v>
      </c>
    </row>
    <row r="141" spans="1:6" x14ac:dyDescent="0.3">
      <c r="A141" t="s">
        <v>29</v>
      </c>
      <c r="B141">
        <v>2023</v>
      </c>
      <c r="C141">
        <v>3.7</v>
      </c>
      <c r="D141">
        <v>3.96</v>
      </c>
      <c r="E141">
        <v>-0.26</v>
      </c>
      <c r="F141">
        <v>34</v>
      </c>
    </row>
    <row r="142" spans="1:6" x14ac:dyDescent="0.3">
      <c r="A142" t="s">
        <v>29</v>
      </c>
      <c r="B142">
        <v>2024</v>
      </c>
      <c r="C142">
        <v>3.95</v>
      </c>
      <c r="D142">
        <v>3.7</v>
      </c>
      <c r="E142">
        <v>0.25</v>
      </c>
      <c r="F142">
        <v>34</v>
      </c>
    </row>
    <row r="143" spans="1:6" x14ac:dyDescent="0.3">
      <c r="A143" t="s">
        <v>29</v>
      </c>
      <c r="B143">
        <v>2025</v>
      </c>
      <c r="C143">
        <v>4.03</v>
      </c>
      <c r="D143">
        <v>3.95</v>
      </c>
      <c r="E143">
        <v>0.08</v>
      </c>
      <c r="F143">
        <v>34</v>
      </c>
    </row>
    <row r="144" spans="1:6" x14ac:dyDescent="0.3">
      <c r="A144" t="s">
        <v>30</v>
      </c>
      <c r="B144">
        <v>2017</v>
      </c>
      <c r="C144">
        <v>0.99</v>
      </c>
      <c r="F144">
        <v>31</v>
      </c>
    </row>
    <row r="145" spans="1:6" x14ac:dyDescent="0.3">
      <c r="A145" t="s">
        <v>30</v>
      </c>
      <c r="B145">
        <v>2020</v>
      </c>
      <c r="C145">
        <v>1.04</v>
      </c>
      <c r="D145">
        <v>0.99</v>
      </c>
      <c r="E145">
        <v>0.05</v>
      </c>
      <c r="F145">
        <v>33</v>
      </c>
    </row>
    <row r="146" spans="1:6" x14ac:dyDescent="0.3">
      <c r="A146" t="s">
        <v>30</v>
      </c>
      <c r="B146">
        <v>2022</v>
      </c>
      <c r="C146">
        <v>2.89</v>
      </c>
      <c r="D146">
        <v>1.04</v>
      </c>
      <c r="E146">
        <v>1.85</v>
      </c>
      <c r="F146">
        <v>33</v>
      </c>
    </row>
    <row r="147" spans="1:6" x14ac:dyDescent="0.3">
      <c r="A147" t="s">
        <v>30</v>
      </c>
      <c r="B147">
        <v>2023</v>
      </c>
      <c r="C147">
        <v>3.76</v>
      </c>
      <c r="D147">
        <v>2.89</v>
      </c>
      <c r="E147">
        <v>0.87</v>
      </c>
      <c r="F147">
        <v>33</v>
      </c>
    </row>
    <row r="148" spans="1:6" x14ac:dyDescent="0.3">
      <c r="A148" t="s">
        <v>30</v>
      </c>
      <c r="B148">
        <v>2024</v>
      </c>
      <c r="C148">
        <v>4.72</v>
      </c>
      <c r="D148">
        <v>3.76</v>
      </c>
      <c r="E148">
        <v>0.96</v>
      </c>
      <c r="F148">
        <v>32</v>
      </c>
    </row>
    <row r="149" spans="1:6" x14ac:dyDescent="0.3">
      <c r="A149" t="s">
        <v>30</v>
      </c>
      <c r="B149">
        <v>2025</v>
      </c>
      <c r="C149">
        <v>4.72</v>
      </c>
      <c r="D149">
        <v>4.72</v>
      </c>
      <c r="E149">
        <v>0</v>
      </c>
      <c r="F149">
        <v>33</v>
      </c>
    </row>
    <row r="150" spans="1:6" x14ac:dyDescent="0.3">
      <c r="A150" t="s">
        <v>31</v>
      </c>
      <c r="B150">
        <v>2017</v>
      </c>
      <c r="C150">
        <v>42.18</v>
      </c>
      <c r="F150">
        <v>20</v>
      </c>
    </row>
    <row r="151" spans="1:6" x14ac:dyDescent="0.3">
      <c r="A151" t="s">
        <v>31</v>
      </c>
      <c r="B151">
        <v>2020</v>
      </c>
      <c r="C151">
        <v>43.65</v>
      </c>
      <c r="D151">
        <v>42.18</v>
      </c>
      <c r="E151">
        <v>1.47</v>
      </c>
      <c r="F151">
        <v>20</v>
      </c>
    </row>
    <row r="152" spans="1:6" x14ac:dyDescent="0.3">
      <c r="A152" t="s">
        <v>31</v>
      </c>
      <c r="B152">
        <v>2022</v>
      </c>
      <c r="C152">
        <v>44.25</v>
      </c>
      <c r="D152">
        <v>43.65</v>
      </c>
      <c r="E152">
        <v>0.6</v>
      </c>
      <c r="F152">
        <v>19</v>
      </c>
    </row>
    <row r="153" spans="1:6" x14ac:dyDescent="0.3">
      <c r="A153" t="s">
        <v>31</v>
      </c>
      <c r="B153">
        <v>2023</v>
      </c>
      <c r="C153">
        <v>46.33</v>
      </c>
      <c r="D153">
        <v>44.25</v>
      </c>
      <c r="E153">
        <v>2.08</v>
      </c>
      <c r="F153">
        <v>18</v>
      </c>
    </row>
    <row r="154" spans="1:6" x14ac:dyDescent="0.3">
      <c r="A154" t="s">
        <v>31</v>
      </c>
      <c r="B154">
        <v>2024</v>
      </c>
      <c r="C154">
        <v>48.23</v>
      </c>
      <c r="D154">
        <v>46.33</v>
      </c>
      <c r="E154">
        <v>1.9</v>
      </c>
      <c r="F154">
        <v>17</v>
      </c>
    </row>
    <row r="155" spans="1:6" x14ac:dyDescent="0.3">
      <c r="A155" t="s">
        <v>31</v>
      </c>
      <c r="B155">
        <v>2025</v>
      </c>
      <c r="C155">
        <v>48.75</v>
      </c>
      <c r="D155">
        <v>48.23</v>
      </c>
      <c r="E155">
        <v>0.52</v>
      </c>
      <c r="F155">
        <v>16</v>
      </c>
    </row>
    <row r="156" spans="1:6" x14ac:dyDescent="0.3">
      <c r="A156" t="s">
        <v>32</v>
      </c>
      <c r="B156">
        <v>2023</v>
      </c>
      <c r="C156">
        <v>70.27</v>
      </c>
      <c r="F156">
        <v>9</v>
      </c>
    </row>
    <row r="157" spans="1:6" x14ac:dyDescent="0.3">
      <c r="A157" t="s">
        <v>32</v>
      </c>
      <c r="B157">
        <v>2024</v>
      </c>
      <c r="C157">
        <v>75.91</v>
      </c>
      <c r="D157">
        <v>70.27</v>
      </c>
      <c r="E157">
        <v>5.64</v>
      </c>
      <c r="F157">
        <v>6</v>
      </c>
    </row>
    <row r="158" spans="1:6" x14ac:dyDescent="0.3">
      <c r="A158" t="s">
        <v>32</v>
      </c>
      <c r="B158">
        <v>2025</v>
      </c>
      <c r="C158">
        <v>75.98</v>
      </c>
      <c r="D158">
        <v>75.91</v>
      </c>
      <c r="E158">
        <v>7.0000000000000007E-2</v>
      </c>
      <c r="F158">
        <v>5</v>
      </c>
    </row>
    <row r="159" spans="1:6" x14ac:dyDescent="0.3">
      <c r="A159" t="s">
        <v>33</v>
      </c>
      <c r="B159">
        <v>2017</v>
      </c>
      <c r="C159">
        <v>165.77</v>
      </c>
      <c r="F159">
        <v>1</v>
      </c>
    </row>
    <row r="160" spans="1:6" x14ac:dyDescent="0.3">
      <c r="A160" t="s">
        <v>33</v>
      </c>
      <c r="B160">
        <v>2020</v>
      </c>
      <c r="C160">
        <v>164.42</v>
      </c>
      <c r="D160">
        <v>165.77</v>
      </c>
      <c r="E160">
        <v>-1.35</v>
      </c>
      <c r="F160">
        <v>1</v>
      </c>
    </row>
    <row r="161" spans="1:6" x14ac:dyDescent="0.3">
      <c r="A161" t="s">
        <v>33</v>
      </c>
      <c r="B161">
        <v>2022</v>
      </c>
      <c r="C161">
        <v>165.99</v>
      </c>
      <c r="D161">
        <v>164.42</v>
      </c>
      <c r="E161">
        <v>1.57</v>
      </c>
      <c r="F161">
        <v>1</v>
      </c>
    </row>
    <row r="162" spans="1:6" x14ac:dyDescent="0.3">
      <c r="A162" t="s">
        <v>33</v>
      </c>
      <c r="B162">
        <v>2023</v>
      </c>
      <c r="C162">
        <v>163.76</v>
      </c>
      <c r="D162">
        <v>165.99</v>
      </c>
      <c r="E162">
        <v>-2.23</v>
      </c>
      <c r="F162">
        <v>1</v>
      </c>
    </row>
    <row r="163" spans="1:6" x14ac:dyDescent="0.3">
      <c r="A163" t="s">
        <v>33</v>
      </c>
      <c r="B163">
        <v>2024</v>
      </c>
      <c r="C163">
        <v>156.87</v>
      </c>
      <c r="D163">
        <v>163.76</v>
      </c>
      <c r="E163">
        <v>-6.89</v>
      </c>
      <c r="F163">
        <v>1</v>
      </c>
    </row>
    <row r="164" spans="1:6" x14ac:dyDescent="0.3">
      <c r="A164" t="s">
        <v>33</v>
      </c>
      <c r="B164">
        <v>2025</v>
      </c>
      <c r="C164">
        <v>156.36000000000001</v>
      </c>
      <c r="D164">
        <v>156.87</v>
      </c>
      <c r="E164">
        <v>-0.51</v>
      </c>
      <c r="F164">
        <v>1</v>
      </c>
    </row>
    <row r="165" spans="1:6" x14ac:dyDescent="0.3">
      <c r="A165" t="s">
        <v>34</v>
      </c>
      <c r="B165">
        <v>2017</v>
      </c>
      <c r="C165">
        <v>139.88</v>
      </c>
      <c r="F165">
        <v>2</v>
      </c>
    </row>
    <row r="166" spans="1:6" x14ac:dyDescent="0.3">
      <c r="A166" t="s">
        <v>34</v>
      </c>
      <c r="B166">
        <v>2020</v>
      </c>
      <c r="C166">
        <v>150.22</v>
      </c>
      <c r="D166">
        <v>139.88</v>
      </c>
      <c r="E166">
        <v>10.34</v>
      </c>
      <c r="F166">
        <v>2</v>
      </c>
    </row>
    <row r="167" spans="1:6" x14ac:dyDescent="0.3">
      <c r="A167" t="s">
        <v>34</v>
      </c>
      <c r="B167">
        <v>2022</v>
      </c>
      <c r="C167">
        <v>151.07</v>
      </c>
      <c r="D167">
        <v>150.22</v>
      </c>
      <c r="E167">
        <v>0.85</v>
      </c>
      <c r="F167">
        <v>2</v>
      </c>
    </row>
    <row r="168" spans="1:6" x14ac:dyDescent="0.3">
      <c r="A168" t="s">
        <v>34</v>
      </c>
      <c r="B168">
        <v>2023</v>
      </c>
      <c r="C168">
        <v>148.77000000000001</v>
      </c>
      <c r="D168">
        <v>151.07</v>
      </c>
      <c r="E168">
        <v>-2.2999999999999998</v>
      </c>
      <c r="F168">
        <v>2</v>
      </c>
    </row>
    <row r="169" spans="1:6" x14ac:dyDescent="0.3">
      <c r="A169" t="s">
        <v>34</v>
      </c>
      <c r="B169">
        <v>2024</v>
      </c>
      <c r="C169">
        <v>149.86000000000001</v>
      </c>
      <c r="D169">
        <v>148.77000000000001</v>
      </c>
      <c r="E169">
        <v>1.0900000000000001</v>
      </c>
      <c r="F169">
        <v>2</v>
      </c>
    </row>
    <row r="170" spans="1:6" x14ac:dyDescent="0.3">
      <c r="A170" t="s">
        <v>34</v>
      </c>
      <c r="B170">
        <v>2025</v>
      </c>
      <c r="C170">
        <v>147.11000000000001</v>
      </c>
      <c r="D170">
        <v>149.86000000000001</v>
      </c>
      <c r="E170">
        <v>-2.75</v>
      </c>
      <c r="F170">
        <v>2</v>
      </c>
    </row>
    <row r="171" spans="1:6" x14ac:dyDescent="0.3">
      <c r="A171" t="s">
        <v>35</v>
      </c>
      <c r="B171">
        <v>2017</v>
      </c>
      <c r="C171">
        <v>0.06</v>
      </c>
      <c r="F171">
        <v>33</v>
      </c>
    </row>
    <row r="172" spans="1:6" x14ac:dyDescent="0.3">
      <c r="A172" t="s">
        <v>35</v>
      </c>
      <c r="B172">
        <v>2020</v>
      </c>
      <c r="C172">
        <v>0.86</v>
      </c>
      <c r="D172">
        <v>0.06</v>
      </c>
      <c r="E172">
        <v>0.8</v>
      </c>
      <c r="F172">
        <v>34</v>
      </c>
    </row>
    <row r="173" spans="1:6" x14ac:dyDescent="0.3">
      <c r="A173" t="s">
        <v>35</v>
      </c>
      <c r="B173">
        <v>2022</v>
      </c>
      <c r="C173">
        <v>6.04</v>
      </c>
      <c r="D173">
        <v>0.86</v>
      </c>
      <c r="E173">
        <v>5.18</v>
      </c>
      <c r="F173">
        <v>30</v>
      </c>
    </row>
    <row r="174" spans="1:6" x14ac:dyDescent="0.3">
      <c r="A174" t="s">
        <v>35</v>
      </c>
      <c r="B174">
        <v>2023</v>
      </c>
      <c r="C174">
        <v>5.54</v>
      </c>
      <c r="D174">
        <v>6.04</v>
      </c>
      <c r="E174">
        <v>-0.5</v>
      </c>
      <c r="F174">
        <v>31</v>
      </c>
    </row>
    <row r="175" spans="1:6" x14ac:dyDescent="0.3">
      <c r="A175" t="s">
        <v>35</v>
      </c>
      <c r="B175">
        <v>2024</v>
      </c>
      <c r="C175">
        <v>5.85</v>
      </c>
      <c r="D175">
        <v>5.54</v>
      </c>
      <c r="E175">
        <v>0.31</v>
      </c>
      <c r="F175">
        <v>31</v>
      </c>
    </row>
    <row r="176" spans="1:6" x14ac:dyDescent="0.3">
      <c r="A176" t="s">
        <v>35</v>
      </c>
      <c r="B176">
        <v>2025</v>
      </c>
      <c r="C176">
        <v>5.87</v>
      </c>
      <c r="D176">
        <v>5.85</v>
      </c>
      <c r="E176">
        <v>0.02</v>
      </c>
      <c r="F176">
        <v>31</v>
      </c>
    </row>
    <row r="177" spans="1:6" x14ac:dyDescent="0.3">
      <c r="A177" t="s">
        <v>36</v>
      </c>
      <c r="B177">
        <v>2017</v>
      </c>
      <c r="C177">
        <v>80.94</v>
      </c>
      <c r="F177">
        <v>7</v>
      </c>
    </row>
    <row r="178" spans="1:6" x14ac:dyDescent="0.3">
      <c r="A178" t="s">
        <v>36</v>
      </c>
      <c r="B178">
        <v>2020</v>
      </c>
      <c r="C178">
        <v>82.93</v>
      </c>
      <c r="D178">
        <v>80.94</v>
      </c>
      <c r="E178">
        <v>1.99</v>
      </c>
      <c r="F178">
        <v>5</v>
      </c>
    </row>
    <row r="179" spans="1:6" x14ac:dyDescent="0.3">
      <c r="A179" t="s">
        <v>36</v>
      </c>
      <c r="B179">
        <v>2022</v>
      </c>
      <c r="C179">
        <v>75.59</v>
      </c>
      <c r="D179">
        <v>82.93</v>
      </c>
      <c r="E179">
        <v>-7.34</v>
      </c>
      <c r="F179">
        <v>7</v>
      </c>
    </row>
    <row r="180" spans="1:6" x14ac:dyDescent="0.3">
      <c r="A180" t="s">
        <v>36</v>
      </c>
      <c r="B180">
        <v>2023</v>
      </c>
      <c r="C180">
        <v>73.91</v>
      </c>
      <c r="D180">
        <v>75.59</v>
      </c>
      <c r="E180">
        <v>-1.68</v>
      </c>
      <c r="F180">
        <v>7</v>
      </c>
    </row>
    <row r="181" spans="1:6" x14ac:dyDescent="0.3">
      <c r="A181" t="s">
        <v>36</v>
      </c>
      <c r="B181">
        <v>2024</v>
      </c>
      <c r="C181">
        <v>74.260000000000005</v>
      </c>
      <c r="D181">
        <v>73.91</v>
      </c>
      <c r="E181">
        <v>0.35</v>
      </c>
      <c r="F181">
        <v>7</v>
      </c>
    </row>
    <row r="182" spans="1:6" x14ac:dyDescent="0.3">
      <c r="A182" t="s">
        <v>36</v>
      </c>
      <c r="B182">
        <v>2025</v>
      </c>
      <c r="C182">
        <v>73.5</v>
      </c>
      <c r="D182">
        <v>74.260000000000005</v>
      </c>
      <c r="E182">
        <v>-0.76</v>
      </c>
      <c r="F182">
        <v>6</v>
      </c>
    </row>
    <row r="183" spans="1:6" x14ac:dyDescent="0.3">
      <c r="A183" t="s">
        <v>37</v>
      </c>
      <c r="B183">
        <v>2017</v>
      </c>
      <c r="C183">
        <v>65.45</v>
      </c>
      <c r="F183">
        <v>10</v>
      </c>
    </row>
    <row r="184" spans="1:6" x14ac:dyDescent="0.3">
      <c r="A184" t="s">
        <v>37</v>
      </c>
      <c r="B184">
        <v>2020</v>
      </c>
      <c r="C184">
        <v>53.32</v>
      </c>
      <c r="D184">
        <v>65.45</v>
      </c>
      <c r="E184">
        <v>-12.13</v>
      </c>
      <c r="F184">
        <v>14</v>
      </c>
    </row>
    <row r="185" spans="1:6" x14ac:dyDescent="0.3">
      <c r="A185" t="s">
        <v>37</v>
      </c>
      <c r="B185">
        <v>2022</v>
      </c>
      <c r="C185">
        <v>41.6</v>
      </c>
      <c r="D185">
        <v>53.32</v>
      </c>
      <c r="E185">
        <v>-11.72</v>
      </c>
      <c r="F185">
        <v>20</v>
      </c>
    </row>
    <row r="186" spans="1:6" x14ac:dyDescent="0.3">
      <c r="A186" t="s">
        <v>37</v>
      </c>
      <c r="B186">
        <v>2023</v>
      </c>
      <c r="C186">
        <v>38.65</v>
      </c>
      <c r="D186">
        <v>41.6</v>
      </c>
      <c r="E186">
        <v>-2.95</v>
      </c>
      <c r="F186">
        <v>21</v>
      </c>
    </row>
    <row r="187" spans="1:6" x14ac:dyDescent="0.3">
      <c r="A187" t="s">
        <v>37</v>
      </c>
      <c r="B187">
        <v>2024</v>
      </c>
      <c r="C187">
        <v>45.91</v>
      </c>
      <c r="D187">
        <v>38.65</v>
      </c>
      <c r="E187">
        <v>7.26</v>
      </c>
      <c r="F187">
        <v>19</v>
      </c>
    </row>
    <row r="188" spans="1:6" x14ac:dyDescent="0.3">
      <c r="A188" t="s">
        <v>37</v>
      </c>
      <c r="B188">
        <v>2025</v>
      </c>
      <c r="C188">
        <v>46.69</v>
      </c>
      <c r="D188">
        <v>45.91</v>
      </c>
      <c r="E188">
        <v>0.78</v>
      </c>
      <c r="F188">
        <v>18</v>
      </c>
    </row>
    <row r="189" spans="1:6" x14ac:dyDescent="0.3">
      <c r="A189" t="s">
        <v>38</v>
      </c>
      <c r="B189">
        <v>2017</v>
      </c>
      <c r="C189">
        <v>7.88</v>
      </c>
      <c r="F189">
        <v>26</v>
      </c>
    </row>
    <row r="190" spans="1:6" x14ac:dyDescent="0.3">
      <c r="A190" t="s">
        <v>38</v>
      </c>
      <c r="B190">
        <v>2020</v>
      </c>
      <c r="C190">
        <v>7.94</v>
      </c>
      <c r="D190">
        <v>7.88</v>
      </c>
      <c r="E190">
        <v>0.06</v>
      </c>
      <c r="F190">
        <v>28</v>
      </c>
    </row>
    <row r="191" spans="1:6" x14ac:dyDescent="0.3">
      <c r="A191" t="s">
        <v>38</v>
      </c>
      <c r="B191">
        <v>2022</v>
      </c>
      <c r="C191">
        <v>9.6999999999999993</v>
      </c>
      <c r="D191">
        <v>7.94</v>
      </c>
      <c r="E191">
        <v>1.76</v>
      </c>
      <c r="F191">
        <v>28</v>
      </c>
    </row>
    <row r="192" spans="1:6" x14ac:dyDescent="0.3">
      <c r="A192" t="s">
        <v>38</v>
      </c>
      <c r="B192">
        <v>2023</v>
      </c>
      <c r="C192">
        <v>9.92</v>
      </c>
      <c r="D192">
        <v>9.6999999999999993</v>
      </c>
      <c r="E192">
        <v>0.22</v>
      </c>
      <c r="F192">
        <v>29</v>
      </c>
    </row>
    <row r="193" spans="1:6" x14ac:dyDescent="0.3">
      <c r="A193" t="s">
        <v>38</v>
      </c>
      <c r="B193">
        <v>2024</v>
      </c>
      <c r="C193">
        <v>9.48</v>
      </c>
      <c r="D193">
        <v>9.92</v>
      </c>
      <c r="E193">
        <v>-0.44</v>
      </c>
      <c r="F193">
        <v>29</v>
      </c>
    </row>
    <row r="194" spans="1:6" x14ac:dyDescent="0.3">
      <c r="A194" t="s">
        <v>38</v>
      </c>
      <c r="B194">
        <v>2025</v>
      </c>
      <c r="C194">
        <v>10.06</v>
      </c>
      <c r="D194">
        <v>9.48</v>
      </c>
      <c r="E194">
        <v>0.57999999999999996</v>
      </c>
      <c r="F194">
        <v>29</v>
      </c>
    </row>
    <row r="195" spans="1:6" x14ac:dyDescent="0.3">
      <c r="A195" t="s">
        <v>39</v>
      </c>
      <c r="B195">
        <v>2017</v>
      </c>
      <c r="C195">
        <v>70.180000000000007</v>
      </c>
      <c r="F195">
        <v>8</v>
      </c>
    </row>
    <row r="196" spans="1:6" x14ac:dyDescent="0.3">
      <c r="A196" t="s">
        <v>39</v>
      </c>
      <c r="B196">
        <v>2020</v>
      </c>
      <c r="C196">
        <v>68.83</v>
      </c>
      <c r="D196">
        <v>70.180000000000007</v>
      </c>
      <c r="E196">
        <v>-1.35</v>
      </c>
      <c r="F196">
        <v>7</v>
      </c>
    </row>
    <row r="197" spans="1:6" x14ac:dyDescent="0.3">
      <c r="A197" t="s">
        <v>39</v>
      </c>
      <c r="B197">
        <v>2022</v>
      </c>
      <c r="C197">
        <v>70.66</v>
      </c>
      <c r="D197">
        <v>68.83</v>
      </c>
      <c r="E197">
        <v>1.83</v>
      </c>
      <c r="F197">
        <v>8</v>
      </c>
    </row>
    <row r="198" spans="1:6" x14ac:dyDescent="0.3">
      <c r="A198" t="s">
        <v>39</v>
      </c>
      <c r="B198">
        <v>2023</v>
      </c>
      <c r="C198">
        <v>70.760000000000005</v>
      </c>
      <c r="D198">
        <v>70.66</v>
      </c>
      <c r="E198">
        <v>0.1</v>
      </c>
      <c r="F198">
        <v>8</v>
      </c>
    </row>
    <row r="199" spans="1:6" x14ac:dyDescent="0.3">
      <c r="A199" t="s">
        <v>39</v>
      </c>
      <c r="B199">
        <v>2024</v>
      </c>
      <c r="C199">
        <v>70.45</v>
      </c>
      <c r="D199">
        <v>70.760000000000005</v>
      </c>
      <c r="E199">
        <v>-0.31</v>
      </c>
      <c r="F199">
        <v>8</v>
      </c>
    </row>
    <row r="200" spans="1:6" x14ac:dyDescent="0.3">
      <c r="A200" t="s">
        <v>39</v>
      </c>
      <c r="B200">
        <v>2025</v>
      </c>
      <c r="C200">
        <v>70</v>
      </c>
      <c r="D200">
        <v>70.45</v>
      </c>
      <c r="E200">
        <v>-0.45</v>
      </c>
      <c r="F200">
        <v>7</v>
      </c>
    </row>
    <row r="201" spans="1:6" x14ac:dyDescent="0.3">
      <c r="A201" t="s">
        <v>40</v>
      </c>
      <c r="B201">
        <v>2017</v>
      </c>
      <c r="C201">
        <v>56.83</v>
      </c>
      <c r="F201">
        <v>12</v>
      </c>
    </row>
    <row r="202" spans="1:6" x14ac:dyDescent="0.3">
      <c r="A202" t="s">
        <v>40</v>
      </c>
      <c r="B202">
        <v>2020</v>
      </c>
      <c r="C202">
        <v>46.8</v>
      </c>
      <c r="D202">
        <v>56.83</v>
      </c>
      <c r="E202">
        <v>-10.029999999999999</v>
      </c>
      <c r="F202">
        <v>17</v>
      </c>
    </row>
    <row r="203" spans="1:6" x14ac:dyDescent="0.3">
      <c r="A203" t="s">
        <v>40</v>
      </c>
      <c r="B203">
        <v>2022</v>
      </c>
      <c r="C203">
        <v>48.04</v>
      </c>
      <c r="D203">
        <v>46.8</v>
      </c>
      <c r="E203">
        <v>1.24</v>
      </c>
      <c r="F203">
        <v>16</v>
      </c>
    </row>
    <row r="204" spans="1:6" x14ac:dyDescent="0.3">
      <c r="A204" t="s">
        <v>40</v>
      </c>
      <c r="B204">
        <v>2023</v>
      </c>
      <c r="C204">
        <v>51.69</v>
      </c>
      <c r="D204">
        <v>48.04</v>
      </c>
      <c r="E204">
        <v>3.65</v>
      </c>
      <c r="F204">
        <v>15</v>
      </c>
    </row>
    <row r="205" spans="1:6" x14ac:dyDescent="0.3">
      <c r="A205" t="s">
        <v>40</v>
      </c>
      <c r="B205">
        <v>2024</v>
      </c>
      <c r="C205">
        <v>53.54</v>
      </c>
      <c r="D205">
        <v>51.69</v>
      </c>
      <c r="E205">
        <v>1.85</v>
      </c>
      <c r="F205">
        <v>15</v>
      </c>
    </row>
    <row r="206" spans="1:6" x14ac:dyDescent="0.3">
      <c r="A206" t="s">
        <v>40</v>
      </c>
      <c r="B206">
        <v>2025</v>
      </c>
      <c r="C206">
        <v>53.92</v>
      </c>
      <c r="D206">
        <v>53.54</v>
      </c>
      <c r="E206">
        <v>0.38</v>
      </c>
      <c r="F206">
        <v>13</v>
      </c>
    </row>
    <row r="207" spans="1:6" x14ac:dyDescent="0.3">
      <c r="A207" t="s">
        <v>41</v>
      </c>
      <c r="B207">
        <v>2017</v>
      </c>
      <c r="C207">
        <v>44.6</v>
      </c>
      <c r="F207">
        <v>17</v>
      </c>
    </row>
    <row r="208" spans="1:6" x14ac:dyDescent="0.3">
      <c r="A208" t="s">
        <v>41</v>
      </c>
      <c r="B208">
        <v>2020</v>
      </c>
      <c r="C208">
        <v>44.6</v>
      </c>
      <c r="D208">
        <v>44.6</v>
      </c>
      <c r="E208">
        <v>0</v>
      </c>
      <c r="F208">
        <v>19</v>
      </c>
    </row>
    <row r="209" spans="1:6" x14ac:dyDescent="0.3">
      <c r="A209" t="s">
        <v>41</v>
      </c>
      <c r="B209">
        <v>2022</v>
      </c>
      <c r="C209">
        <v>47.01</v>
      </c>
      <c r="D209">
        <v>44.6</v>
      </c>
      <c r="E209">
        <v>2.41</v>
      </c>
      <c r="F209">
        <v>17</v>
      </c>
    </row>
    <row r="210" spans="1:6" x14ac:dyDescent="0.3">
      <c r="A210" t="s">
        <v>41</v>
      </c>
      <c r="B210">
        <v>2023</v>
      </c>
      <c r="C210">
        <v>44.81</v>
      </c>
      <c r="D210">
        <v>47.01</v>
      </c>
      <c r="E210">
        <v>-2.2000000000000002</v>
      </c>
      <c r="F210">
        <v>19</v>
      </c>
    </row>
    <row r="211" spans="1:6" x14ac:dyDescent="0.3">
      <c r="A211" t="s">
        <v>41</v>
      </c>
      <c r="B211">
        <v>2024</v>
      </c>
      <c r="C211">
        <v>45.63</v>
      </c>
      <c r="D211">
        <v>44.81</v>
      </c>
      <c r="E211">
        <v>0.82</v>
      </c>
      <c r="F211">
        <v>20</v>
      </c>
    </row>
    <row r="212" spans="1:6" x14ac:dyDescent="0.3">
      <c r="A212" t="s">
        <v>41</v>
      </c>
      <c r="B212">
        <v>2025</v>
      </c>
      <c r="C212">
        <v>45.19</v>
      </c>
      <c r="D212">
        <v>45.63</v>
      </c>
      <c r="E212">
        <v>-0.44</v>
      </c>
      <c r="F21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Forecast</vt:lpstr>
      <vt:lpstr>state's trend over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yatendra singh</dc:creator>
  <cp:lastModifiedBy>yatendra singh</cp:lastModifiedBy>
  <dcterms:created xsi:type="dcterms:W3CDTF">2026-06-30T09:01:19Z</dcterms:created>
  <dcterms:modified xsi:type="dcterms:W3CDTF">2026-07-01T18:12:50Z</dcterms:modified>
</cp:coreProperties>
</file>